
<file path=[Content_Types].xml><?xml version="1.0" encoding="utf-8"?>
<Types xmlns="http://schemas.openxmlformats.org/package/2006/content-type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calcChain.xml" ContentType="application/vnd.openxmlformats-officedocument.spreadsheetml.calcChain+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hidePivotFieldList="1"/>
  <mc:AlternateContent xmlns:mc="http://schemas.openxmlformats.org/markup-compatibility/2006">
    <mc:Choice Requires="x15">
      <x15ac:absPath xmlns:x15ac="http://schemas.microsoft.com/office/spreadsheetml/2010/11/ac" url="C:\AtanuProtiviti\0  ECL &amp; Credit Risk\IRFC_ECL\"/>
    </mc:Choice>
  </mc:AlternateContent>
  <xr:revisionPtr revIDLastSave="0" documentId="13_ncr:1_{83CF7AB2-F8B6-472A-B157-181388E74EFD}" xr6:coauthVersionLast="47" xr6:coauthVersionMax="47" xr10:uidLastSave="{00000000-0000-0000-0000-000000000000}"/>
  <bookViews>
    <workbookView xWindow="-120" yWindow="-120" windowWidth="20730" windowHeight="11040" firstSheet="3" activeTab="3" xr2:uid="{B90C4AFA-D66C-4DDF-882B-6BE05CC52595}"/>
  </bookViews>
  <sheets>
    <sheet name="Home " sheetId="12" r:id="rId1"/>
    <sheet name="Input Data " sheetId="18" r:id="rId2"/>
    <sheet name="TTC PD" sheetId="5" r:id="rId3"/>
    <sheet name="MEV Data" sheetId="6" r:id="rId4"/>
    <sheet name="MEV_Index" sheetId="8" r:id="rId5"/>
    <sheet name="MEV Scenario" sheetId="9" r:id="rId6"/>
    <sheet name="Vasicek" sheetId="10" r:id="rId7"/>
    <sheet name="Survival Analysis" sheetId="19" r:id="rId8"/>
    <sheet name="PIT PD" sheetId="20" r:id="rId9"/>
    <sheet name="ECL Calculation" sheetId="17" r:id="rId10"/>
    <sheet name="Assumption" sheetId="22" r:id="rId11"/>
    <sheet name="Admin" sheetId="13" state="hidden" r:id="rId12"/>
  </sheets>
  <definedNames>
    <definedName name="_xlnm._FilterDatabase" localSheetId="1" hidden="1">'Input Data '!$A$8:$O$58</definedName>
    <definedName name="MEV_List">#REF!</definedName>
    <definedName name="OverrideList">#REF!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O9" i="6" l="1"/>
  <c r="P9" i="6"/>
  <c r="Q9" i="6"/>
  <c r="O10" i="6"/>
  <c r="P10" i="6"/>
  <c r="Q10" i="6"/>
  <c r="O11" i="6"/>
  <c r="P11" i="6"/>
  <c r="Q11" i="6"/>
  <c r="O12" i="6"/>
  <c r="P12" i="6"/>
  <c r="Q12" i="6"/>
  <c r="O13" i="6"/>
  <c r="P13" i="6"/>
  <c r="Q13" i="6"/>
  <c r="L9" i="17"/>
  <c r="V12" i="18"/>
  <c r="E11" i="17" s="1"/>
  <c r="V17" i="18"/>
  <c r="E16" i="17" s="1"/>
  <c r="V18" i="18"/>
  <c r="E17" i="17" s="1"/>
  <c r="U12" i="18"/>
  <c r="D11" i="17" s="1"/>
  <c r="U17" i="18"/>
  <c r="D16" i="17" s="1"/>
  <c r="U18" i="18"/>
  <c r="D17" i="17" s="1"/>
  <c r="U19" i="18"/>
  <c r="D18" i="17" s="1"/>
  <c r="U20" i="18"/>
  <c r="D19" i="17" s="1"/>
  <c r="T12" i="18"/>
  <c r="C11" i="17" s="1"/>
  <c r="T17" i="18"/>
  <c r="C16" i="17" s="1"/>
  <c r="T18" i="18"/>
  <c r="C17" i="17" s="1"/>
  <c r="O10" i="18"/>
  <c r="O11" i="18"/>
  <c r="O12" i="18"/>
  <c r="O13" i="18"/>
  <c r="O14" i="18"/>
  <c r="U10" i="18" s="1"/>
  <c r="D9" i="17" s="1"/>
  <c r="O15" i="18"/>
  <c r="U14" i="18" s="1"/>
  <c r="D13" i="17" s="1"/>
  <c r="O16" i="18"/>
  <c r="O17" i="18"/>
  <c r="O18" i="18"/>
  <c r="O19" i="18"/>
  <c r="O20" i="18"/>
  <c r="V9" i="18" s="1"/>
  <c r="E8" i="17" s="1"/>
  <c r="O21" i="18"/>
  <c r="O22" i="18"/>
  <c r="U11" i="18" s="1"/>
  <c r="D10" i="17" s="1"/>
  <c r="O9" i="18"/>
  <c r="L10" i="18"/>
  <c r="L11" i="18"/>
  <c r="L12" i="18"/>
  <c r="L13" i="18"/>
  <c r="L14" i="18"/>
  <c r="L15" i="18"/>
  <c r="L16" i="18"/>
  <c r="L17" i="18"/>
  <c r="L18" i="18"/>
  <c r="L19" i="18"/>
  <c r="L20" i="18"/>
  <c r="L21" i="18"/>
  <c r="L22" i="18"/>
  <c r="T11" i="18" s="1"/>
  <c r="C10" i="17" s="1"/>
  <c r="L9" i="18"/>
  <c r="H22" i="18"/>
  <c r="H21" i="18"/>
  <c r="H20" i="18"/>
  <c r="H19" i="18"/>
  <c r="J17" i="18"/>
  <c r="D8" i="8"/>
  <c r="C8" i="8"/>
  <c r="J11" i="8"/>
  <c r="K11" i="8" s="1"/>
  <c r="L11" i="8" s="1"/>
  <c r="H11" i="8"/>
  <c r="G11" i="8" s="1"/>
  <c r="I10" i="9"/>
  <c r="I15" i="9" s="1"/>
  <c r="I20" i="9" s="1"/>
  <c r="H10" i="9"/>
  <c r="H15" i="9" s="1"/>
  <c r="H20" i="9" s="1"/>
  <c r="G10" i="9"/>
  <c r="G15" i="9" s="1"/>
  <c r="G20" i="9" s="1"/>
  <c r="D9" i="8"/>
  <c r="S10" i="18"/>
  <c r="S9" i="18"/>
  <c r="A23" i="18"/>
  <c r="A24" i="18" s="1"/>
  <c r="A25" i="18" s="1"/>
  <c r="A26" i="18" s="1"/>
  <c r="A27" i="18" s="1"/>
  <c r="A28" i="18" s="1"/>
  <c r="A29" i="18" s="1"/>
  <c r="A30" i="18" s="1"/>
  <c r="A31" i="18" s="1"/>
  <c r="A32" i="18" s="1"/>
  <c r="A33" i="18" s="1"/>
  <c r="A34" i="18" s="1"/>
  <c r="A35" i="18" s="1"/>
  <c r="A36" i="18" s="1"/>
  <c r="A37" i="18" s="1"/>
  <c r="A38" i="18" s="1"/>
  <c r="A39" i="18" s="1"/>
  <c r="A40" i="18" s="1"/>
  <c r="A41" i="18" s="1"/>
  <c r="A42" i="18" s="1"/>
  <c r="A43" i="18" s="1"/>
  <c r="A44" i="18" s="1"/>
  <c r="A45" i="18" s="1"/>
  <c r="A46" i="18" s="1"/>
  <c r="A47" i="18" s="1"/>
  <c r="A48" i="18" s="1"/>
  <c r="A49" i="18" s="1"/>
  <c r="A50" i="18" s="1"/>
  <c r="A51" i="18" s="1"/>
  <c r="A52" i="18" s="1"/>
  <c r="A53" i="18" s="1"/>
  <c r="A54" i="18" s="1"/>
  <c r="A55" i="18" s="1"/>
  <c r="A56" i="18" s="1"/>
  <c r="A57" i="18" s="1"/>
  <c r="A58" i="18" s="1"/>
  <c r="G9" i="17"/>
  <c r="G10" i="17"/>
  <c r="G11" i="17"/>
  <c r="G12" i="17"/>
  <c r="G13" i="17"/>
  <c r="G14" i="17"/>
  <c r="G15" i="17"/>
  <c r="G16" i="17"/>
  <c r="G17" i="17"/>
  <c r="G18" i="17"/>
  <c r="G19" i="17"/>
  <c r="S20" i="18"/>
  <c r="S19" i="18"/>
  <c r="S18" i="18"/>
  <c r="S17" i="18"/>
  <c r="S16" i="18"/>
  <c r="S15" i="18"/>
  <c r="S14" i="18"/>
  <c r="S13" i="18"/>
  <c r="S12" i="18"/>
  <c r="S11" i="18"/>
  <c r="D13" i="10"/>
  <c r="C47" i="10"/>
  <c r="D47" i="10" s="1"/>
  <c r="C11" i="10"/>
  <c r="C11" i="19" s="1"/>
  <c r="C12" i="10"/>
  <c r="C27" i="10" s="1"/>
  <c r="D27" i="10" s="1"/>
  <c r="C13" i="10"/>
  <c r="C13" i="19" s="1"/>
  <c r="L13" i="19" s="1"/>
  <c r="U13" i="19" s="1"/>
  <c r="C14" i="10"/>
  <c r="C29" i="10" s="1"/>
  <c r="D29" i="10" s="1"/>
  <c r="C15" i="10"/>
  <c r="C30" i="10" s="1"/>
  <c r="D30" i="10" s="1"/>
  <c r="C16" i="10"/>
  <c r="C31" i="10" s="1"/>
  <c r="D31" i="10" s="1"/>
  <c r="C17" i="10"/>
  <c r="C32" i="10" s="1"/>
  <c r="D32" i="10" s="1"/>
  <c r="C18" i="10"/>
  <c r="C18" i="19" s="1"/>
  <c r="C19" i="10"/>
  <c r="D19" i="10" s="1"/>
  <c r="C20" i="10"/>
  <c r="C20" i="19" s="1"/>
  <c r="C21" i="10"/>
  <c r="C21" i="19" s="1"/>
  <c r="L21" i="19" s="1"/>
  <c r="U21" i="19" s="1"/>
  <c r="C9" i="5"/>
  <c r="B11" i="10" s="1"/>
  <c r="C10" i="5"/>
  <c r="B12" i="10" s="1"/>
  <c r="C11" i="5"/>
  <c r="B13" i="10" s="1"/>
  <c r="C12" i="5"/>
  <c r="B14" i="10" s="1"/>
  <c r="B29" i="10" s="1"/>
  <c r="B45" i="10" s="1"/>
  <c r="C13" i="5"/>
  <c r="B15" i="10" s="1"/>
  <c r="C14" i="5"/>
  <c r="B16" i="10" s="1"/>
  <c r="C15" i="5"/>
  <c r="B17" i="10" s="1"/>
  <c r="C16" i="5"/>
  <c r="B18" i="10" s="1"/>
  <c r="C17" i="5"/>
  <c r="B19" i="10" s="1"/>
  <c r="B34" i="10" s="1"/>
  <c r="B50" i="10" s="1"/>
  <c r="C18" i="5"/>
  <c r="B20" i="10" s="1"/>
  <c r="B35" i="10" s="1"/>
  <c r="B51" i="10" s="1"/>
  <c r="C19" i="5"/>
  <c r="B21" i="10" s="1"/>
  <c r="B36" i="10" s="1"/>
  <c r="B52" i="10" s="1"/>
  <c r="C8" i="5"/>
  <c r="I11" i="17" l="1"/>
  <c r="I17" i="17"/>
  <c r="I16" i="17"/>
  <c r="U9" i="18"/>
  <c r="D8" i="17" s="1"/>
  <c r="V20" i="18"/>
  <c r="E19" i="17" s="1"/>
  <c r="T20" i="18"/>
  <c r="C19" i="17" s="1"/>
  <c r="V19" i="18"/>
  <c r="E18" i="17" s="1"/>
  <c r="T19" i="18"/>
  <c r="C18" i="17" s="1"/>
  <c r="T16" i="18"/>
  <c r="C15" i="17" s="1"/>
  <c r="V11" i="18"/>
  <c r="E10" i="17" s="1"/>
  <c r="I10" i="17" s="1"/>
  <c r="T15" i="18"/>
  <c r="C14" i="17" s="1"/>
  <c r="U16" i="18"/>
  <c r="D15" i="17" s="1"/>
  <c r="V15" i="18"/>
  <c r="E14" i="17" s="1"/>
  <c r="T14" i="18"/>
  <c r="C13" i="17" s="1"/>
  <c r="U15" i="18"/>
  <c r="D14" i="17" s="1"/>
  <c r="V14" i="18"/>
  <c r="E13" i="17" s="1"/>
  <c r="T13" i="18"/>
  <c r="C12" i="17" s="1"/>
  <c r="V13" i="18"/>
  <c r="E12" i="17" s="1"/>
  <c r="V16" i="18"/>
  <c r="E15" i="17" s="1"/>
  <c r="U13" i="18"/>
  <c r="D12" i="17" s="1"/>
  <c r="T10" i="18"/>
  <c r="C9" i="17" s="1"/>
  <c r="V10" i="18"/>
  <c r="E9" i="17" s="1"/>
  <c r="T9" i="18"/>
  <c r="C8" i="17" s="1"/>
  <c r="V6" i="18"/>
  <c r="F11" i="8"/>
  <c r="E11" i="8" s="1"/>
  <c r="F10" i="9"/>
  <c r="F15" i="9" s="1"/>
  <c r="F20" i="9" s="1"/>
  <c r="J10" i="9"/>
  <c r="J15" i="9" s="1"/>
  <c r="J20" i="9" s="1"/>
  <c r="M11" i="8"/>
  <c r="K10" i="9"/>
  <c r="K15" i="9" s="1"/>
  <c r="K20" i="9" s="1"/>
  <c r="C45" i="10"/>
  <c r="D45" i="10" s="1"/>
  <c r="C44" i="10"/>
  <c r="D44" i="10" s="1"/>
  <c r="D21" i="10"/>
  <c r="C52" i="10"/>
  <c r="D52" i="10" s="1"/>
  <c r="D16" i="10"/>
  <c r="D15" i="10"/>
  <c r="C46" i="10"/>
  <c r="D46" i="10" s="1"/>
  <c r="D14" i="10"/>
  <c r="B33" i="10"/>
  <c r="B49" i="10" s="1"/>
  <c r="B18" i="19"/>
  <c r="K18" i="19" s="1"/>
  <c r="T18" i="19" s="1"/>
  <c r="T34" i="19" s="1"/>
  <c r="L11" i="19"/>
  <c r="U11" i="19" s="1"/>
  <c r="C43" i="19"/>
  <c r="L43" i="19" s="1"/>
  <c r="U43" i="19" s="1"/>
  <c r="C11" i="20"/>
  <c r="L11" i="20" s="1"/>
  <c r="U11" i="20" s="1"/>
  <c r="L18" i="19"/>
  <c r="U18" i="19" s="1"/>
  <c r="C18" i="20"/>
  <c r="L18" i="20" s="1"/>
  <c r="U18" i="20" s="1"/>
  <c r="C50" i="19"/>
  <c r="L50" i="19" s="1"/>
  <c r="U50" i="19" s="1"/>
  <c r="L20" i="19"/>
  <c r="U20" i="19" s="1"/>
  <c r="C20" i="20"/>
  <c r="L20" i="20" s="1"/>
  <c r="U20" i="20" s="1"/>
  <c r="C52" i="19"/>
  <c r="L52" i="19" s="1"/>
  <c r="U52" i="19" s="1"/>
  <c r="B26" i="10"/>
  <c r="B42" i="10" s="1"/>
  <c r="B11" i="19"/>
  <c r="B27" i="19" s="1"/>
  <c r="K27" i="19" s="1"/>
  <c r="C12" i="19"/>
  <c r="C28" i="19" s="1"/>
  <c r="C26" i="10"/>
  <c r="D26" i="10" s="1"/>
  <c r="C19" i="19"/>
  <c r="C51" i="10"/>
  <c r="D51" i="10" s="1"/>
  <c r="C17" i="19"/>
  <c r="D20" i="10"/>
  <c r="C50" i="10"/>
  <c r="D50" i="10" s="1"/>
  <c r="C42" i="10"/>
  <c r="D42" i="10" s="1"/>
  <c r="C16" i="19"/>
  <c r="C16" i="20" s="1"/>
  <c r="D11" i="10"/>
  <c r="C21" i="20"/>
  <c r="L21" i="20" s="1"/>
  <c r="U21" i="20" s="1"/>
  <c r="C49" i="10"/>
  <c r="D49" i="10" s="1"/>
  <c r="C15" i="19"/>
  <c r="L15" i="19" s="1"/>
  <c r="U15" i="19" s="1"/>
  <c r="D18" i="10"/>
  <c r="C43" i="10"/>
  <c r="D43" i="10" s="1"/>
  <c r="D12" i="10"/>
  <c r="C48" i="10"/>
  <c r="D48" i="10" s="1"/>
  <c r="C14" i="19"/>
  <c r="L14" i="19" s="1"/>
  <c r="U14" i="19" s="1"/>
  <c r="C45" i="19"/>
  <c r="L45" i="19" s="1"/>
  <c r="U45" i="19" s="1"/>
  <c r="D17" i="10"/>
  <c r="B32" i="10"/>
  <c r="B48" i="10" s="1"/>
  <c r="B17" i="19"/>
  <c r="B33" i="19" s="1"/>
  <c r="B31" i="10"/>
  <c r="B47" i="10" s="1"/>
  <c r="B16" i="19"/>
  <c r="B32" i="19" s="1"/>
  <c r="K32" i="19" s="1"/>
  <c r="B27" i="10"/>
  <c r="B43" i="10" s="1"/>
  <c r="B12" i="19"/>
  <c r="B30" i="10"/>
  <c r="B46" i="10" s="1"/>
  <c r="B15" i="19"/>
  <c r="B31" i="19" s="1"/>
  <c r="B28" i="10"/>
  <c r="B44" i="10" s="1"/>
  <c r="B13" i="19"/>
  <c r="B29" i="19" s="1"/>
  <c r="B14" i="19"/>
  <c r="B30" i="19" s="1"/>
  <c r="B21" i="19"/>
  <c r="B37" i="19" s="1"/>
  <c r="B20" i="19"/>
  <c r="B36" i="19" s="1"/>
  <c r="B19" i="19"/>
  <c r="B35" i="19" s="1"/>
  <c r="C40" i="20"/>
  <c r="C15" i="20"/>
  <c r="C13" i="20"/>
  <c r="C46" i="19"/>
  <c r="L46" i="19" s="1"/>
  <c r="U46" i="19" s="1"/>
  <c r="C29" i="19"/>
  <c r="U29" i="19" s="1"/>
  <c r="C27" i="19"/>
  <c r="U27" i="19" s="1"/>
  <c r="C37" i="19"/>
  <c r="C34" i="19"/>
  <c r="C36" i="19"/>
  <c r="C33" i="19"/>
  <c r="C28" i="10"/>
  <c r="D28" i="10" s="1"/>
  <c r="C33" i="10"/>
  <c r="D33" i="10" s="1"/>
  <c r="C35" i="10"/>
  <c r="D35" i="10" s="1"/>
  <c r="C34" i="10"/>
  <c r="D34" i="10" s="1"/>
  <c r="C36" i="10"/>
  <c r="D36" i="10" s="1"/>
  <c r="I18" i="17" l="1"/>
  <c r="I8" i="17"/>
  <c r="I19" i="17"/>
  <c r="I14" i="17"/>
  <c r="I9" i="17"/>
  <c r="I15" i="17"/>
  <c r="I12" i="17"/>
  <c r="I13" i="17"/>
  <c r="E10" i="9"/>
  <c r="E15" i="9" s="1"/>
  <c r="E20" i="9" s="1"/>
  <c r="L10" i="9"/>
  <c r="L15" i="9" s="1"/>
  <c r="L20" i="9" s="1"/>
  <c r="N11" i="8"/>
  <c r="M10" i="9" s="1"/>
  <c r="M15" i="9" s="1"/>
  <c r="M20" i="9" s="1"/>
  <c r="D11" i="8"/>
  <c r="D10" i="9"/>
  <c r="D15" i="9" s="1"/>
  <c r="D20" i="9" s="1"/>
  <c r="C48" i="19"/>
  <c r="L48" i="19" s="1"/>
  <c r="U48" i="19" s="1"/>
  <c r="L16" i="19"/>
  <c r="U16" i="19" s="1"/>
  <c r="B17" i="20"/>
  <c r="K17" i="20" s="1"/>
  <c r="T17" i="20" s="1"/>
  <c r="K17" i="19"/>
  <c r="B48" i="19"/>
  <c r="K48" i="19" s="1"/>
  <c r="T48" i="19" s="1"/>
  <c r="B43" i="19"/>
  <c r="K43" i="19" s="1"/>
  <c r="T43" i="19" s="1"/>
  <c r="B11" i="20"/>
  <c r="K11" i="20" s="1"/>
  <c r="T11" i="20" s="1"/>
  <c r="C47" i="19"/>
  <c r="L47" i="19" s="1"/>
  <c r="U47" i="19" s="1"/>
  <c r="B34" i="19"/>
  <c r="B50" i="19" s="1"/>
  <c r="K50" i="19" s="1"/>
  <c r="T50" i="19" s="1"/>
  <c r="C31" i="19"/>
  <c r="L31" i="19" s="1"/>
  <c r="B15" i="20"/>
  <c r="B37" i="20" s="1"/>
  <c r="B13" i="17" s="1"/>
  <c r="B18" i="20"/>
  <c r="B40" i="20" s="1"/>
  <c r="B16" i="17" s="1"/>
  <c r="L19" i="19"/>
  <c r="U19" i="19" s="1"/>
  <c r="C19" i="20"/>
  <c r="C51" i="19"/>
  <c r="L51" i="19" s="1"/>
  <c r="U51" i="19" s="1"/>
  <c r="C42" i="20"/>
  <c r="L12" i="19"/>
  <c r="U12" i="19" s="1"/>
  <c r="C44" i="19"/>
  <c r="L44" i="19" s="1"/>
  <c r="U44" i="19" s="1"/>
  <c r="C43" i="20"/>
  <c r="C33" i="20"/>
  <c r="C12" i="20"/>
  <c r="C34" i="20" s="1"/>
  <c r="L17" i="19"/>
  <c r="U17" i="19" s="1"/>
  <c r="C17" i="20"/>
  <c r="C49" i="19"/>
  <c r="L49" i="19" s="1"/>
  <c r="U49" i="19" s="1"/>
  <c r="C30" i="19"/>
  <c r="L30" i="19" s="1"/>
  <c r="B14" i="20"/>
  <c r="K14" i="20" s="1"/>
  <c r="T14" i="20" s="1"/>
  <c r="C35" i="19"/>
  <c r="U35" i="19" s="1"/>
  <c r="C32" i="19"/>
  <c r="L32" i="19" s="1"/>
  <c r="C14" i="20"/>
  <c r="C36" i="20" s="1"/>
  <c r="B13" i="20"/>
  <c r="B35" i="20" s="1"/>
  <c r="B11" i="17" s="1"/>
  <c r="K29" i="19"/>
  <c r="B45" i="19"/>
  <c r="K45" i="19" s="1"/>
  <c r="T45" i="19" s="1"/>
  <c r="K31" i="19"/>
  <c r="B47" i="19"/>
  <c r="K47" i="19" s="1"/>
  <c r="T47" i="19" s="1"/>
  <c r="B28" i="19"/>
  <c r="B12" i="20"/>
  <c r="K30" i="19"/>
  <c r="B46" i="19"/>
  <c r="K46" i="19" s="1"/>
  <c r="T46" i="19" s="1"/>
  <c r="K19" i="19"/>
  <c r="T19" i="19" s="1"/>
  <c r="T35" i="19" s="1"/>
  <c r="B19" i="20"/>
  <c r="K20" i="19"/>
  <c r="T20" i="19" s="1"/>
  <c r="T36" i="19" s="1"/>
  <c r="B20" i="20"/>
  <c r="B16" i="20"/>
  <c r="B38" i="20" s="1"/>
  <c r="B14" i="17" s="1"/>
  <c r="K21" i="19"/>
  <c r="T21" i="19" s="1"/>
  <c r="T37" i="19" s="1"/>
  <c r="B21" i="20"/>
  <c r="L13" i="20"/>
  <c r="U13" i="20" s="1"/>
  <c r="C35" i="20"/>
  <c r="K35" i="19"/>
  <c r="B51" i="19"/>
  <c r="K51" i="19" s="1"/>
  <c r="T51" i="19" s="1"/>
  <c r="L15" i="20"/>
  <c r="U15" i="20" s="1"/>
  <c r="C37" i="20"/>
  <c r="K37" i="19"/>
  <c r="B53" i="19"/>
  <c r="K53" i="19" s="1"/>
  <c r="T53" i="19" s="1"/>
  <c r="L16" i="20"/>
  <c r="U16" i="20" s="1"/>
  <c r="C38" i="20"/>
  <c r="K36" i="19"/>
  <c r="B52" i="19"/>
  <c r="K52" i="19" s="1"/>
  <c r="T52" i="19" s="1"/>
  <c r="K33" i="19"/>
  <c r="B49" i="19"/>
  <c r="K49" i="19" s="1"/>
  <c r="T49" i="19" s="1"/>
  <c r="U31" i="19"/>
  <c r="L28" i="19"/>
  <c r="U28" i="19"/>
  <c r="U30" i="19"/>
  <c r="L29" i="19"/>
  <c r="L27" i="19"/>
  <c r="U33" i="19"/>
  <c r="L33" i="19"/>
  <c r="L37" i="19"/>
  <c r="U37" i="19"/>
  <c r="U36" i="19"/>
  <c r="L36" i="19"/>
  <c r="U34" i="19"/>
  <c r="L34" i="19"/>
  <c r="C10" i="9" l="1"/>
  <c r="C15" i="9" s="1"/>
  <c r="C20" i="9" s="1"/>
  <c r="C11" i="8"/>
  <c r="B10" i="9" s="1"/>
  <c r="B15" i="9" s="1"/>
  <c r="B20" i="9" s="1"/>
  <c r="L14" i="20"/>
  <c r="U14" i="20" s="1"/>
  <c r="L12" i="20"/>
  <c r="U12" i="20" s="1"/>
  <c r="K34" i="19"/>
  <c r="K18" i="20"/>
  <c r="T18" i="20" s="1"/>
  <c r="B39" i="20"/>
  <c r="B15" i="17" s="1"/>
  <c r="B36" i="20"/>
  <c r="B12" i="17" s="1"/>
  <c r="B33" i="20"/>
  <c r="B9" i="17" s="1"/>
  <c r="K13" i="20"/>
  <c r="T13" i="20" s="1"/>
  <c r="K16" i="20"/>
  <c r="T16" i="20" s="1"/>
  <c r="K15" i="20"/>
  <c r="T15" i="20" s="1"/>
  <c r="C39" i="20"/>
  <c r="L17" i="20"/>
  <c r="U17" i="20" s="1"/>
  <c r="L35" i="19"/>
  <c r="U32" i="19"/>
  <c r="L19" i="20"/>
  <c r="U19" i="20" s="1"/>
  <c r="C41" i="20"/>
  <c r="K12" i="20"/>
  <c r="T12" i="20" s="1"/>
  <c r="B34" i="20"/>
  <c r="B10" i="17" s="1"/>
  <c r="K28" i="19"/>
  <c r="B44" i="19"/>
  <c r="K44" i="19" s="1"/>
  <c r="T44" i="19" s="1"/>
  <c r="K19" i="20"/>
  <c r="T19" i="20" s="1"/>
  <c r="B41" i="20"/>
  <c r="B17" i="17" s="1"/>
  <c r="K21" i="20"/>
  <c r="T21" i="20" s="1"/>
  <c r="B43" i="20"/>
  <c r="B19" i="17" s="1"/>
  <c r="K20" i="20"/>
  <c r="T20" i="20" s="1"/>
  <c r="B42" i="20"/>
  <c r="B18" i="17" s="1"/>
  <c r="C26" i="20"/>
  <c r="D26" i="20"/>
  <c r="B26" i="20"/>
  <c r="E31" i="20"/>
  <c r="F31" i="20" s="1"/>
  <c r="G31" i="20" s="1"/>
  <c r="H31" i="20" s="1"/>
  <c r="I31" i="20" s="1"/>
  <c r="W9" i="20"/>
  <c r="X9" i="20" s="1"/>
  <c r="Y9" i="20" s="1"/>
  <c r="Z9" i="20" s="1"/>
  <c r="AA9" i="20" s="1"/>
  <c r="N9" i="20"/>
  <c r="O9" i="20" s="1"/>
  <c r="P9" i="20" s="1"/>
  <c r="Q9" i="20" s="1"/>
  <c r="R9" i="20" s="1"/>
  <c r="E9" i="20"/>
  <c r="F9" i="20" s="1"/>
  <c r="G9" i="20" s="1"/>
  <c r="H9" i="20" s="1"/>
  <c r="I9" i="20" s="1"/>
  <c r="W41" i="19"/>
  <c r="X41" i="19" s="1"/>
  <c r="Y41" i="19" s="1"/>
  <c r="Z41" i="19" s="1"/>
  <c r="AA41" i="19" s="1"/>
  <c r="N41" i="19"/>
  <c r="O41" i="19" s="1"/>
  <c r="P41" i="19" s="1"/>
  <c r="Q41" i="19" s="1"/>
  <c r="R41" i="19" s="1"/>
  <c r="E41" i="19"/>
  <c r="F41" i="19" s="1"/>
  <c r="G41" i="19" s="1"/>
  <c r="H41" i="19" s="1"/>
  <c r="I41" i="19" s="1"/>
  <c r="W25" i="19"/>
  <c r="X25" i="19" s="1"/>
  <c r="Y25" i="19" s="1"/>
  <c r="Z25" i="19" s="1"/>
  <c r="AA25" i="19" s="1"/>
  <c r="N25" i="19"/>
  <c r="O25" i="19" s="1"/>
  <c r="P25" i="19" s="1"/>
  <c r="Q25" i="19" s="1"/>
  <c r="R25" i="19" s="1"/>
  <c r="E25" i="19"/>
  <c r="F25" i="19" s="1"/>
  <c r="G25" i="19" s="1"/>
  <c r="H25" i="19" s="1"/>
  <c r="I25" i="19" s="1"/>
  <c r="W9" i="19"/>
  <c r="X9" i="19" s="1"/>
  <c r="Y9" i="19" s="1"/>
  <c r="Z9" i="19" s="1"/>
  <c r="AA9" i="19" s="1"/>
  <c r="N9" i="19"/>
  <c r="O9" i="19" s="1"/>
  <c r="P9" i="19" s="1"/>
  <c r="Q9" i="19" s="1"/>
  <c r="R9" i="19" s="1"/>
  <c r="E9" i="19"/>
  <c r="F9" i="19" s="1"/>
  <c r="G9" i="19" s="1"/>
  <c r="H9" i="19" s="1"/>
  <c r="I9" i="19" s="1"/>
  <c r="B10" i="10" l="1"/>
  <c r="B25" i="10" l="1"/>
  <c r="B41" i="10" s="1"/>
  <c r="B10" i="19"/>
  <c r="C53" i="19" l="1"/>
  <c r="L53" i="19" s="1"/>
  <c r="U53" i="19" s="1"/>
  <c r="K16" i="19"/>
  <c r="T16" i="19" s="1"/>
  <c r="T32" i="19" s="1"/>
  <c r="K11" i="19"/>
  <c r="T11" i="19" s="1"/>
  <c r="T27" i="19" s="1"/>
  <c r="K14" i="19"/>
  <c r="T14" i="19" s="1"/>
  <c r="T30" i="19" s="1"/>
  <c r="B26" i="19"/>
  <c r="B10" i="20"/>
  <c r="K10" i="19"/>
  <c r="T10" i="19" s="1"/>
  <c r="T26" i="19" s="1"/>
  <c r="K13" i="19"/>
  <c r="T13" i="19" s="1"/>
  <c r="T29" i="19" s="1"/>
  <c r="K15" i="19"/>
  <c r="T15" i="19" s="1"/>
  <c r="T31" i="19" s="1"/>
  <c r="T17" i="19"/>
  <c r="T33" i="19" s="1"/>
  <c r="K12" i="19"/>
  <c r="T12" i="19" s="1"/>
  <c r="T28" i="19" s="1"/>
  <c r="C10" i="10"/>
  <c r="D10" i="10" s="1"/>
  <c r="K10" i="20" l="1"/>
  <c r="T10" i="20" s="1"/>
  <c r="B32" i="20"/>
  <c r="B8" i="17" s="1"/>
  <c r="B42" i="19"/>
  <c r="K42" i="19" s="1"/>
  <c r="T42" i="19" s="1"/>
  <c r="K26" i="19"/>
  <c r="C25" i="10"/>
  <c r="D25" i="10" s="1"/>
  <c r="C10" i="19"/>
  <c r="L10" i="19" l="1"/>
  <c r="U10" i="19" s="1"/>
  <c r="C10" i="20"/>
  <c r="C42" i="19"/>
  <c r="L42" i="19" s="1"/>
  <c r="U42" i="19" s="1"/>
  <c r="C26" i="19"/>
  <c r="U26" i="19" l="1"/>
  <c r="L26" i="19"/>
  <c r="C32" i="20"/>
  <c r="L10" i="20"/>
  <c r="U10" i="20" s="1"/>
  <c r="F39" i="10"/>
  <c r="G39" i="10" s="1"/>
  <c r="H39" i="10" s="1"/>
  <c r="I39" i="10" s="1"/>
  <c r="J39" i="10" s="1"/>
  <c r="F23" i="10"/>
  <c r="G23" i="10" s="1"/>
  <c r="H23" i="10" s="1"/>
  <c r="I23" i="10" s="1"/>
  <c r="J23" i="10" s="1"/>
  <c r="F8" i="10"/>
  <c r="G8" i="10" s="1"/>
  <c r="H8" i="10" s="1"/>
  <c r="I8" i="10" s="1"/>
  <c r="J8" i="10" s="1"/>
  <c r="C22" i="8"/>
  <c r="D22" i="8" l="1"/>
  <c r="E22" i="8" s="1"/>
  <c r="F22" i="8" s="1"/>
  <c r="G22" i="8" s="1"/>
  <c r="H22" i="8" s="1"/>
  <c r="I22" i="8" s="1"/>
  <c r="J22" i="8" s="1"/>
  <c r="K22" i="8" s="1"/>
  <c r="L22" i="8" s="1"/>
  <c r="M22" i="8" s="1"/>
  <c r="N22" i="8" s="1"/>
  <c r="C27" i="8"/>
  <c r="D27" i="8" s="1"/>
  <c r="E27" i="8" s="1"/>
  <c r="F27" i="8" s="1"/>
  <c r="G27" i="8" s="1"/>
  <c r="H27" i="8" s="1"/>
  <c r="I27" i="8" s="1"/>
  <c r="J27" i="8" s="1"/>
  <c r="K27" i="8" s="1"/>
  <c r="L27" i="8" s="1"/>
  <c r="M27" i="8" s="1"/>
  <c r="N27" i="8" s="1"/>
  <c r="C41" i="10" l="1"/>
  <c r="D41" i="10" s="1"/>
  <c r="C12" i="8" l="1" a="1"/>
  <c r="C12" i="8" s="1"/>
  <c r="C19" i="8" s="1"/>
  <c r="C13" i="8" l="1" a="1"/>
  <c r="C13" i="8" s="1"/>
  <c r="B12" i="8"/>
  <c r="B13" i="8" l="1"/>
  <c r="B24" i="8" s="1"/>
  <c r="D18" i="8"/>
  <c r="D19" i="8"/>
  <c r="C18" i="8"/>
  <c r="C17" i="8"/>
  <c r="B23" i="8"/>
  <c r="D17" i="8" l="1"/>
  <c r="C23" i="8"/>
  <c r="J24" i="8"/>
  <c r="F24" i="8"/>
  <c r="D24" i="8"/>
  <c r="I24" i="8"/>
  <c r="E24" i="8"/>
  <c r="K24" i="8"/>
  <c r="L24" i="8"/>
  <c r="G24" i="8"/>
  <c r="H24" i="8"/>
  <c r="M24" i="8"/>
  <c r="N24" i="8"/>
  <c r="I23" i="8"/>
  <c r="I28" i="8" s="1"/>
  <c r="F23" i="8"/>
  <c r="E23" i="8"/>
  <c r="K23" i="8"/>
  <c r="M23" i="8"/>
  <c r="N23" i="8"/>
  <c r="D23" i="8"/>
  <c r="L23" i="8"/>
  <c r="G23" i="8"/>
  <c r="G28" i="8" s="1"/>
  <c r="H23" i="8"/>
  <c r="H28" i="8" s="1"/>
  <c r="J23" i="8"/>
  <c r="C24" i="8"/>
  <c r="F28" i="8" l="1"/>
  <c r="E11" i="9" s="1"/>
  <c r="J28" i="8"/>
  <c r="E28" i="8"/>
  <c r="L28" i="8"/>
  <c r="D28" i="8"/>
  <c r="M28" i="8"/>
  <c r="L11" i="9" s="1"/>
  <c r="C28" i="8"/>
  <c r="N28" i="8"/>
  <c r="M11" i="9" s="1"/>
  <c r="K28" i="8"/>
  <c r="J11" i="9" s="1"/>
  <c r="B11" i="9"/>
  <c r="G11" i="9"/>
  <c r="K11" i="9"/>
  <c r="H11" i="9"/>
  <c r="F11" i="9"/>
  <c r="D11" i="9"/>
  <c r="C11" i="9"/>
  <c r="I11" i="9"/>
  <c r="M21" i="9" l="1"/>
  <c r="J40" i="10" s="1"/>
  <c r="M16" i="9"/>
  <c r="J24" i="10" s="1"/>
  <c r="C21" i="9"/>
  <c r="C16" i="9"/>
  <c r="E21" i="9"/>
  <c r="E16" i="9"/>
  <c r="I21" i="9"/>
  <c r="F40" i="10" s="1"/>
  <c r="I16" i="9"/>
  <c r="F24" i="10" s="1"/>
  <c r="D21" i="9"/>
  <c r="D16" i="9"/>
  <c r="F21" i="9"/>
  <c r="F16" i="9"/>
  <c r="J21" i="9"/>
  <c r="G40" i="10" s="1"/>
  <c r="J16" i="9"/>
  <c r="G24" i="10" s="1"/>
  <c r="H21" i="9"/>
  <c r="E40" i="10" s="1"/>
  <c r="H16" i="9"/>
  <c r="E24" i="10" s="1"/>
  <c r="G21" i="9"/>
  <c r="G16" i="9"/>
  <c r="L21" i="9"/>
  <c r="I40" i="10" s="1"/>
  <c r="L16" i="9"/>
  <c r="I24" i="10" s="1"/>
  <c r="H9" i="10"/>
  <c r="K21" i="9"/>
  <c r="H40" i="10" s="1"/>
  <c r="K16" i="9"/>
  <c r="H24" i="10" s="1"/>
  <c r="B21" i="9"/>
  <c r="B16" i="9"/>
  <c r="E9" i="10"/>
  <c r="J9" i="10"/>
  <c r="F9" i="10"/>
  <c r="I9" i="10"/>
  <c r="G9" i="10"/>
  <c r="I43" i="10" l="1"/>
  <c r="Z12" i="19" s="1"/>
  <c r="Z28" i="19" s="1"/>
  <c r="Z44" i="19" s="1"/>
  <c r="I46" i="10"/>
  <c r="Z15" i="19" s="1"/>
  <c r="I50" i="10"/>
  <c r="Z19" i="19" s="1"/>
  <c r="I44" i="10"/>
  <c r="Z13" i="19" s="1"/>
  <c r="I42" i="10"/>
  <c r="Z11" i="19" s="1"/>
  <c r="I47" i="10"/>
  <c r="Z16" i="19" s="1"/>
  <c r="Z32" i="19" s="1"/>
  <c r="Z48" i="19" s="1"/>
  <c r="I52" i="10"/>
  <c r="Z21" i="19" s="1"/>
  <c r="I48" i="10"/>
  <c r="Z17" i="19" s="1"/>
  <c r="Z33" i="19" s="1"/>
  <c r="Z49" i="19" s="1"/>
  <c r="I49" i="10"/>
  <c r="Z18" i="19" s="1"/>
  <c r="I51" i="10"/>
  <c r="Z20" i="19" s="1"/>
  <c r="Z36" i="19" s="1"/>
  <c r="Z52" i="19" s="1"/>
  <c r="I45" i="10"/>
  <c r="Z14" i="19" s="1"/>
  <c r="F46" i="10"/>
  <c r="W15" i="19" s="1"/>
  <c r="F44" i="10"/>
  <c r="W13" i="19" s="1"/>
  <c r="F42" i="10"/>
  <c r="W11" i="19" s="1"/>
  <c r="F45" i="10"/>
  <c r="W14" i="19" s="1"/>
  <c r="W30" i="19" s="1"/>
  <c r="W46" i="19" s="1"/>
  <c r="F43" i="10"/>
  <c r="W12" i="19" s="1"/>
  <c r="W28" i="19" s="1"/>
  <c r="W44" i="19" s="1"/>
  <c r="F47" i="10"/>
  <c r="W16" i="19" s="1"/>
  <c r="W32" i="19" s="1"/>
  <c r="W48" i="19" s="1"/>
  <c r="F50" i="10"/>
  <c r="W19" i="19" s="1"/>
  <c r="W35" i="19" s="1"/>
  <c r="W51" i="19" s="1"/>
  <c r="F48" i="10"/>
  <c r="W17" i="19" s="1"/>
  <c r="F49" i="10"/>
  <c r="W18" i="19" s="1"/>
  <c r="W34" i="19" s="1"/>
  <c r="W50" i="19" s="1"/>
  <c r="F52" i="10"/>
  <c r="W21" i="19" s="1"/>
  <c r="F51" i="10"/>
  <c r="W20" i="19" s="1"/>
  <c r="W36" i="19" s="1"/>
  <c r="W52" i="19" s="1"/>
  <c r="H46" i="10"/>
  <c r="Y15" i="19" s="1"/>
  <c r="H43" i="10"/>
  <c r="Y12" i="19" s="1"/>
  <c r="Y28" i="19" s="1"/>
  <c r="Y44" i="19" s="1"/>
  <c r="H44" i="10"/>
  <c r="Y13" i="19" s="1"/>
  <c r="H42" i="10"/>
  <c r="Y11" i="19" s="1"/>
  <c r="H50" i="10"/>
  <c r="Y19" i="19" s="1"/>
  <c r="H48" i="10"/>
  <c r="Y17" i="19" s="1"/>
  <c r="H51" i="10"/>
  <c r="Y20" i="19" s="1"/>
  <c r="Y36" i="19" s="1"/>
  <c r="Y52" i="19" s="1"/>
  <c r="H49" i="10"/>
  <c r="Y18" i="19" s="1"/>
  <c r="Y34" i="19" s="1"/>
  <c r="Y50" i="19" s="1"/>
  <c r="H52" i="10"/>
  <c r="Y21" i="19" s="1"/>
  <c r="Y37" i="19" s="1"/>
  <c r="Y53" i="19" s="1"/>
  <c r="H45" i="10"/>
  <c r="Y14" i="19" s="1"/>
  <c r="H47" i="10"/>
  <c r="Y16" i="19" s="1"/>
  <c r="E46" i="10"/>
  <c r="V15" i="19" s="1"/>
  <c r="E44" i="10"/>
  <c r="V13" i="19" s="1"/>
  <c r="E42" i="10"/>
  <c r="V11" i="19" s="1"/>
  <c r="E47" i="10"/>
  <c r="V16" i="19" s="1"/>
  <c r="E48" i="10"/>
  <c r="V17" i="19" s="1"/>
  <c r="E43" i="10"/>
  <c r="V12" i="19" s="1"/>
  <c r="E45" i="10"/>
  <c r="V14" i="19" s="1"/>
  <c r="E50" i="10"/>
  <c r="V19" i="19" s="1"/>
  <c r="E51" i="10"/>
  <c r="V20" i="19" s="1"/>
  <c r="E49" i="10"/>
  <c r="V18" i="19" s="1"/>
  <c r="E52" i="10"/>
  <c r="V21" i="19" s="1"/>
  <c r="G46" i="10"/>
  <c r="X15" i="19" s="1"/>
  <c r="G44" i="10"/>
  <c r="X13" i="19" s="1"/>
  <c r="G42" i="10"/>
  <c r="X11" i="19" s="1"/>
  <c r="G50" i="10"/>
  <c r="X19" i="19" s="1"/>
  <c r="G48" i="10"/>
  <c r="X17" i="19" s="1"/>
  <c r="G52" i="10"/>
  <c r="X21" i="19" s="1"/>
  <c r="X37" i="19" s="1"/>
  <c r="X53" i="19" s="1"/>
  <c r="G51" i="10"/>
  <c r="X20" i="19" s="1"/>
  <c r="X36" i="19" s="1"/>
  <c r="X52" i="19" s="1"/>
  <c r="G47" i="10"/>
  <c r="X16" i="19" s="1"/>
  <c r="G49" i="10"/>
  <c r="X18" i="19" s="1"/>
  <c r="X34" i="19" s="1"/>
  <c r="X50" i="19" s="1"/>
  <c r="G45" i="10"/>
  <c r="X14" i="19" s="1"/>
  <c r="X30" i="19" s="1"/>
  <c r="X46" i="19" s="1"/>
  <c r="G43" i="10"/>
  <c r="X12" i="19" s="1"/>
  <c r="J43" i="10"/>
  <c r="AA12" i="19" s="1"/>
  <c r="J46" i="10"/>
  <c r="AA15" i="19" s="1"/>
  <c r="AA31" i="19" s="1"/>
  <c r="AA47" i="19" s="1"/>
  <c r="J44" i="10"/>
  <c r="AA13" i="19" s="1"/>
  <c r="J42" i="10"/>
  <c r="AA11" i="19" s="1"/>
  <c r="J45" i="10"/>
  <c r="AA14" i="19" s="1"/>
  <c r="AA30" i="19" s="1"/>
  <c r="AA46" i="19" s="1"/>
  <c r="J47" i="10"/>
  <c r="AA16" i="19" s="1"/>
  <c r="AA32" i="19" s="1"/>
  <c r="AA48" i="19" s="1"/>
  <c r="J48" i="10"/>
  <c r="AA17" i="19" s="1"/>
  <c r="AA33" i="19" s="1"/>
  <c r="AA49" i="19" s="1"/>
  <c r="J50" i="10"/>
  <c r="AA19" i="19" s="1"/>
  <c r="J51" i="10"/>
  <c r="AA20" i="19" s="1"/>
  <c r="AA36" i="19" s="1"/>
  <c r="AA52" i="19" s="1"/>
  <c r="J49" i="10"/>
  <c r="AA18" i="19" s="1"/>
  <c r="AA34" i="19" s="1"/>
  <c r="AA50" i="19" s="1"/>
  <c r="J52" i="10"/>
  <c r="AA21" i="19" s="1"/>
  <c r="H32" i="10"/>
  <c r="P17" i="19" s="1"/>
  <c r="H28" i="10"/>
  <c r="P13" i="19" s="1"/>
  <c r="H33" i="10"/>
  <c r="P18" i="19" s="1"/>
  <c r="H27" i="10"/>
  <c r="P12" i="19" s="1"/>
  <c r="H26" i="10"/>
  <c r="P11" i="19" s="1"/>
  <c r="H31" i="10"/>
  <c r="P16" i="19" s="1"/>
  <c r="H29" i="10"/>
  <c r="P14" i="19" s="1"/>
  <c r="H30" i="10"/>
  <c r="P15" i="19" s="1"/>
  <c r="H36" i="10"/>
  <c r="P21" i="19" s="1"/>
  <c r="H35" i="10"/>
  <c r="P20" i="19" s="1"/>
  <c r="H34" i="10"/>
  <c r="P19" i="19" s="1"/>
  <c r="I33" i="10"/>
  <c r="Q18" i="19" s="1"/>
  <c r="I29" i="10"/>
  <c r="Q14" i="19" s="1"/>
  <c r="I27" i="10"/>
  <c r="Q12" i="19" s="1"/>
  <c r="I32" i="10"/>
  <c r="Q17" i="19" s="1"/>
  <c r="I28" i="10"/>
  <c r="Q13" i="19" s="1"/>
  <c r="I26" i="10"/>
  <c r="Q11" i="19" s="1"/>
  <c r="I30" i="10"/>
  <c r="Q15" i="19" s="1"/>
  <c r="I36" i="10"/>
  <c r="Q21" i="19" s="1"/>
  <c r="I31" i="10"/>
  <c r="Q16" i="19" s="1"/>
  <c r="I34" i="10"/>
  <c r="Q19" i="19" s="1"/>
  <c r="I35" i="10"/>
  <c r="Q20" i="19" s="1"/>
  <c r="E33" i="10"/>
  <c r="M18" i="19" s="1"/>
  <c r="E32" i="10"/>
  <c r="M17" i="19" s="1"/>
  <c r="E26" i="10"/>
  <c r="M11" i="19" s="1"/>
  <c r="E27" i="10"/>
  <c r="M12" i="19" s="1"/>
  <c r="E28" i="10"/>
  <c r="M13" i="19" s="1"/>
  <c r="E31" i="10"/>
  <c r="M16" i="19" s="1"/>
  <c r="E30" i="10"/>
  <c r="M15" i="19" s="1"/>
  <c r="E29" i="10"/>
  <c r="M14" i="19" s="1"/>
  <c r="E36" i="10"/>
  <c r="M21" i="19" s="1"/>
  <c r="E35" i="10"/>
  <c r="M20" i="19" s="1"/>
  <c r="E34" i="10"/>
  <c r="M19" i="19" s="1"/>
  <c r="F32" i="10"/>
  <c r="N17" i="19" s="1"/>
  <c r="F33" i="10"/>
  <c r="N18" i="19" s="1"/>
  <c r="F27" i="10"/>
  <c r="N12" i="19" s="1"/>
  <c r="F31" i="10"/>
  <c r="N16" i="19" s="1"/>
  <c r="F26" i="10"/>
  <c r="N11" i="19" s="1"/>
  <c r="F29" i="10"/>
  <c r="N14" i="19" s="1"/>
  <c r="F30" i="10"/>
  <c r="N15" i="19" s="1"/>
  <c r="F28" i="10"/>
  <c r="N13" i="19" s="1"/>
  <c r="F36" i="10"/>
  <c r="N21" i="19" s="1"/>
  <c r="F35" i="10"/>
  <c r="N20" i="19" s="1"/>
  <c r="F34" i="10"/>
  <c r="N19" i="19" s="1"/>
  <c r="J32" i="10"/>
  <c r="R17" i="19" s="1"/>
  <c r="J33" i="10"/>
  <c r="R18" i="19" s="1"/>
  <c r="J27" i="10"/>
  <c r="R12" i="19" s="1"/>
  <c r="J28" i="10"/>
  <c r="R13" i="19" s="1"/>
  <c r="J26" i="10"/>
  <c r="R11" i="19" s="1"/>
  <c r="J29" i="10"/>
  <c r="R14" i="19" s="1"/>
  <c r="J31" i="10"/>
  <c r="R16" i="19" s="1"/>
  <c r="J30" i="10"/>
  <c r="R15" i="19" s="1"/>
  <c r="J35" i="10"/>
  <c r="R20" i="19" s="1"/>
  <c r="J34" i="10"/>
  <c r="R19" i="19" s="1"/>
  <c r="J36" i="10"/>
  <c r="R21" i="19" s="1"/>
  <c r="G32" i="10"/>
  <c r="O17" i="19" s="1"/>
  <c r="G33" i="10"/>
  <c r="O18" i="19" s="1"/>
  <c r="G26" i="10"/>
  <c r="O11" i="19" s="1"/>
  <c r="G27" i="10"/>
  <c r="O12" i="19" s="1"/>
  <c r="G28" i="10"/>
  <c r="O13" i="19" s="1"/>
  <c r="G31" i="10"/>
  <c r="O16" i="19" s="1"/>
  <c r="G30" i="10"/>
  <c r="O15" i="19" s="1"/>
  <c r="G29" i="10"/>
  <c r="O14" i="19" s="1"/>
  <c r="G36" i="10"/>
  <c r="O21" i="19" s="1"/>
  <c r="G35" i="10"/>
  <c r="O20" i="19" s="1"/>
  <c r="G34" i="10"/>
  <c r="O19" i="19" s="1"/>
  <c r="H19" i="10"/>
  <c r="G19" i="19" s="1"/>
  <c r="H11" i="10"/>
  <c r="G11" i="19" s="1"/>
  <c r="H15" i="10"/>
  <c r="G15" i="19" s="1"/>
  <c r="H17" i="10"/>
  <c r="G17" i="19" s="1"/>
  <c r="H13" i="10"/>
  <c r="G13" i="19" s="1"/>
  <c r="H16" i="10"/>
  <c r="G16" i="19" s="1"/>
  <c r="H21" i="10"/>
  <c r="G21" i="19" s="1"/>
  <c r="H12" i="10"/>
  <c r="G12" i="19" s="1"/>
  <c r="H18" i="10"/>
  <c r="G18" i="19" s="1"/>
  <c r="H20" i="10"/>
  <c r="G20" i="19" s="1"/>
  <c r="H14" i="10"/>
  <c r="G14" i="19" s="1"/>
  <c r="G11" i="10"/>
  <c r="F11" i="19" s="1"/>
  <c r="G13" i="10"/>
  <c r="F13" i="19" s="1"/>
  <c r="G17" i="10"/>
  <c r="F17" i="19" s="1"/>
  <c r="G15" i="10"/>
  <c r="F15" i="19" s="1"/>
  <c r="G21" i="10"/>
  <c r="F21" i="19" s="1"/>
  <c r="G12" i="10"/>
  <c r="F12" i="19" s="1"/>
  <c r="G19" i="10"/>
  <c r="F19" i="19" s="1"/>
  <c r="G20" i="10"/>
  <c r="F20" i="19" s="1"/>
  <c r="G18" i="10"/>
  <c r="F18" i="19" s="1"/>
  <c r="G16" i="10"/>
  <c r="F16" i="19" s="1"/>
  <c r="G14" i="10"/>
  <c r="F14" i="19" s="1"/>
  <c r="F13" i="10"/>
  <c r="E13" i="19" s="1"/>
  <c r="F11" i="10"/>
  <c r="E11" i="19" s="1"/>
  <c r="F15" i="10"/>
  <c r="E15" i="19" s="1"/>
  <c r="F20" i="10"/>
  <c r="E20" i="19" s="1"/>
  <c r="F16" i="10"/>
  <c r="E16" i="19" s="1"/>
  <c r="F12" i="10"/>
  <c r="E12" i="19" s="1"/>
  <c r="F21" i="10"/>
  <c r="E21" i="19" s="1"/>
  <c r="F19" i="10"/>
  <c r="E19" i="19" s="1"/>
  <c r="F14" i="10"/>
  <c r="E14" i="19" s="1"/>
  <c r="F17" i="10"/>
  <c r="E17" i="19" s="1"/>
  <c r="F18" i="10"/>
  <c r="E18" i="19" s="1"/>
  <c r="I13" i="10"/>
  <c r="H13" i="19" s="1"/>
  <c r="I19" i="10"/>
  <c r="H19" i="19" s="1"/>
  <c r="I11" i="10"/>
  <c r="H11" i="19" s="1"/>
  <c r="I17" i="10"/>
  <c r="H17" i="19" s="1"/>
  <c r="I15" i="10"/>
  <c r="H15" i="19" s="1"/>
  <c r="I21" i="10"/>
  <c r="H21" i="19" s="1"/>
  <c r="I18" i="10"/>
  <c r="H18" i="19" s="1"/>
  <c r="I16" i="10"/>
  <c r="H16" i="19" s="1"/>
  <c r="I14" i="10"/>
  <c r="H14" i="19" s="1"/>
  <c r="I12" i="10"/>
  <c r="H12" i="19" s="1"/>
  <c r="I20" i="10"/>
  <c r="H20" i="19" s="1"/>
  <c r="E15" i="10"/>
  <c r="D15" i="19" s="1"/>
  <c r="E11" i="10"/>
  <c r="D11" i="19" s="1"/>
  <c r="E13" i="10"/>
  <c r="D13" i="19" s="1"/>
  <c r="E12" i="10"/>
  <c r="D12" i="19" s="1"/>
  <c r="E16" i="10"/>
  <c r="D16" i="19" s="1"/>
  <c r="E20" i="10"/>
  <c r="D20" i="19" s="1"/>
  <c r="E19" i="10"/>
  <c r="D19" i="19" s="1"/>
  <c r="E18" i="10"/>
  <c r="D18" i="19" s="1"/>
  <c r="E17" i="10"/>
  <c r="D17" i="19" s="1"/>
  <c r="E14" i="10"/>
  <c r="D14" i="19" s="1"/>
  <c r="E21" i="10"/>
  <c r="D21" i="19" s="1"/>
  <c r="J13" i="10"/>
  <c r="I13" i="19" s="1"/>
  <c r="J16" i="10"/>
  <c r="I16" i="19" s="1"/>
  <c r="J11" i="10"/>
  <c r="I11" i="19" s="1"/>
  <c r="J20" i="10"/>
  <c r="I20" i="19" s="1"/>
  <c r="J15" i="10"/>
  <c r="I15" i="19" s="1"/>
  <c r="J18" i="10"/>
  <c r="I18" i="19" s="1"/>
  <c r="J19" i="10"/>
  <c r="I19" i="19" s="1"/>
  <c r="J17" i="10"/>
  <c r="I17" i="19" s="1"/>
  <c r="J21" i="10"/>
  <c r="I21" i="19" s="1"/>
  <c r="J12" i="10"/>
  <c r="I12" i="19" s="1"/>
  <c r="J14" i="10"/>
  <c r="I14" i="19" s="1"/>
  <c r="H25" i="10"/>
  <c r="P10" i="19" s="1"/>
  <c r="I25" i="10"/>
  <c r="Q10" i="19" s="1"/>
  <c r="J25" i="10"/>
  <c r="R10" i="19" s="1"/>
  <c r="F25" i="10"/>
  <c r="N10" i="19" s="1"/>
  <c r="G25" i="10"/>
  <c r="O10" i="19" s="1"/>
  <c r="H41" i="10"/>
  <c r="Y10" i="19" s="1"/>
  <c r="I41" i="10"/>
  <c r="Z10" i="19" s="1"/>
  <c r="F41" i="10"/>
  <c r="W10" i="19" s="1"/>
  <c r="E25" i="10"/>
  <c r="M10" i="19" s="1"/>
  <c r="E41" i="10"/>
  <c r="V10" i="19" s="1"/>
  <c r="G41" i="10"/>
  <c r="X10" i="19" s="1"/>
  <c r="J41" i="10"/>
  <c r="AA10" i="19" s="1"/>
  <c r="H10" i="10"/>
  <c r="G10" i="19" s="1"/>
  <c r="G10" i="10"/>
  <c r="F10" i="19" s="1"/>
  <c r="J10" i="10"/>
  <c r="I10" i="19" s="1"/>
  <c r="F10" i="10"/>
  <c r="E10" i="19" s="1"/>
  <c r="I10" i="10"/>
  <c r="H10" i="19" s="1"/>
  <c r="E10" i="10"/>
  <c r="D10" i="19" s="1"/>
  <c r="Z12" i="20" l="1"/>
  <c r="Z20" i="20"/>
  <c r="Y18" i="20"/>
  <c r="Y21" i="20"/>
  <c r="X35" i="19"/>
  <c r="X51" i="19" s="1"/>
  <c r="Y19" i="20" s="1"/>
  <c r="X19" i="20"/>
  <c r="V27" i="19"/>
  <c r="V43" i="19" s="1"/>
  <c r="W11" i="20" s="1"/>
  <c r="V11" i="20"/>
  <c r="W31" i="19"/>
  <c r="W47" i="19" s="1"/>
  <c r="X15" i="20" s="1"/>
  <c r="AA27" i="19"/>
  <c r="AA43" i="19" s="1"/>
  <c r="X27" i="19"/>
  <c r="X43" i="19" s="1"/>
  <c r="Y11" i="20" s="1"/>
  <c r="V29" i="19"/>
  <c r="V45" i="19" s="1"/>
  <c r="W13" i="20" s="1"/>
  <c r="V13" i="20"/>
  <c r="Y31" i="19"/>
  <c r="Y47" i="19" s="1"/>
  <c r="Z15" i="20" s="1"/>
  <c r="Z30" i="19"/>
  <c r="Z46" i="19" s="1"/>
  <c r="AA14" i="20" s="1"/>
  <c r="AA29" i="19"/>
  <c r="AA45" i="19" s="1"/>
  <c r="X29" i="19"/>
  <c r="X45" i="19" s="1"/>
  <c r="Y13" i="20" s="1"/>
  <c r="V31" i="19"/>
  <c r="V47" i="19" s="1"/>
  <c r="W15" i="20" s="1"/>
  <c r="V15" i="20"/>
  <c r="X20" i="20"/>
  <c r="AA20" i="20"/>
  <c r="X31" i="19"/>
  <c r="X47" i="19" s="1"/>
  <c r="Y15" i="20" s="1"/>
  <c r="Y32" i="19"/>
  <c r="Y48" i="19" s="1"/>
  <c r="Z16" i="20" s="1"/>
  <c r="W37" i="19"/>
  <c r="W53" i="19" s="1"/>
  <c r="X21" i="20" s="1"/>
  <c r="Z34" i="19"/>
  <c r="Z50" i="19" s="1"/>
  <c r="AA18" i="20" s="1"/>
  <c r="Z18" i="20"/>
  <c r="AA28" i="19"/>
  <c r="AA44" i="19" s="1"/>
  <c r="AA12" i="20"/>
  <c r="V21" i="20"/>
  <c r="V37" i="19"/>
  <c r="V53" i="19" s="1"/>
  <c r="W21" i="20" s="1"/>
  <c r="Y30" i="19"/>
  <c r="Y46" i="19" s="1"/>
  <c r="Z14" i="20" s="1"/>
  <c r="Y14" i="20"/>
  <c r="X18" i="20"/>
  <c r="AA17" i="20"/>
  <c r="X28" i="19"/>
  <c r="X44" i="19" s="1"/>
  <c r="Y12" i="20" s="1"/>
  <c r="X12" i="20"/>
  <c r="V18" i="20"/>
  <c r="V34" i="19"/>
  <c r="V50" i="19" s="1"/>
  <c r="W18" i="20" s="1"/>
  <c r="W33" i="19"/>
  <c r="W49" i="19" s="1"/>
  <c r="X17" i="20" s="1"/>
  <c r="Z21" i="20"/>
  <c r="Z37" i="19"/>
  <c r="Z53" i="19" s="1"/>
  <c r="AA21" i="20" s="1"/>
  <c r="AA37" i="19"/>
  <c r="AA53" i="19" s="1"/>
  <c r="V20" i="20"/>
  <c r="V36" i="19"/>
  <c r="V52" i="19" s="1"/>
  <c r="W20" i="20" s="1"/>
  <c r="AA16" i="20"/>
  <c r="V35" i="19"/>
  <c r="V51" i="19" s="1"/>
  <c r="W19" i="20" s="1"/>
  <c r="V19" i="20"/>
  <c r="X32" i="19"/>
  <c r="X48" i="19" s="1"/>
  <c r="Y16" i="20" s="1"/>
  <c r="X16" i="20"/>
  <c r="V30" i="19"/>
  <c r="V46" i="19" s="1"/>
  <c r="W14" i="20" s="1"/>
  <c r="V14" i="20"/>
  <c r="Y33" i="19"/>
  <c r="Y49" i="19" s="1"/>
  <c r="Z17" i="20" s="1"/>
  <c r="Z29" i="19"/>
  <c r="Z45" i="19" s="1"/>
  <c r="AA13" i="20" s="1"/>
  <c r="Z27" i="19"/>
  <c r="Z43" i="19" s="1"/>
  <c r="AA11" i="20" s="1"/>
  <c r="AA35" i="19"/>
  <c r="AA51" i="19" s="1"/>
  <c r="Y20" i="20"/>
  <c r="V12" i="20"/>
  <c r="V28" i="19"/>
  <c r="V44" i="19" s="1"/>
  <c r="W12" i="20" s="1"/>
  <c r="Y35" i="19"/>
  <c r="Y51" i="19" s="1"/>
  <c r="Z19" i="20" s="1"/>
  <c r="X14" i="20"/>
  <c r="Z35" i="19"/>
  <c r="Z51" i="19" s="1"/>
  <c r="AA19" i="20" s="1"/>
  <c r="V33" i="19"/>
  <c r="V49" i="19" s="1"/>
  <c r="W17" i="20" s="1"/>
  <c r="V17" i="20"/>
  <c r="Y27" i="19"/>
  <c r="Y43" i="19" s="1"/>
  <c r="Z11" i="20" s="1"/>
  <c r="W27" i="19"/>
  <c r="W43" i="19" s="1"/>
  <c r="X11" i="20" s="1"/>
  <c r="Z31" i="19"/>
  <c r="Z47" i="19" s="1"/>
  <c r="AA15" i="20" s="1"/>
  <c r="X33" i="19"/>
  <c r="X49" i="19" s="1"/>
  <c r="Y17" i="20" s="1"/>
  <c r="V32" i="19"/>
  <c r="V48" i="19" s="1"/>
  <c r="W16" i="20" s="1"/>
  <c r="V16" i="20"/>
  <c r="Y29" i="19"/>
  <c r="Y45" i="19" s="1"/>
  <c r="Z13" i="20" s="1"/>
  <c r="W29" i="19"/>
  <c r="W45" i="19" s="1"/>
  <c r="X13" i="20" s="1"/>
  <c r="O29" i="19"/>
  <c r="O45" i="19" s="1"/>
  <c r="P13" i="20" s="1"/>
  <c r="R29" i="19"/>
  <c r="R45" i="19" s="1"/>
  <c r="N28" i="19"/>
  <c r="N44" i="19" s="1"/>
  <c r="O12" i="20" s="1"/>
  <c r="M33" i="19"/>
  <c r="M49" i="19" s="1"/>
  <c r="N17" i="20" s="1"/>
  <c r="M17" i="20"/>
  <c r="Q34" i="19"/>
  <c r="Q50" i="19" s="1"/>
  <c r="R18" i="20" s="1"/>
  <c r="O28" i="19"/>
  <c r="O44" i="19" s="1"/>
  <c r="P12" i="20" s="1"/>
  <c r="R28" i="19"/>
  <c r="R44" i="19" s="1"/>
  <c r="N34" i="19"/>
  <c r="N50" i="19" s="1"/>
  <c r="O18" i="20" s="1"/>
  <c r="M34" i="19"/>
  <c r="M50" i="19" s="1"/>
  <c r="N18" i="20" s="1"/>
  <c r="M18" i="20"/>
  <c r="P35" i="19"/>
  <c r="P51" i="19" s="1"/>
  <c r="Q19" i="20" s="1"/>
  <c r="O27" i="19"/>
  <c r="O43" i="19" s="1"/>
  <c r="P11" i="20" s="1"/>
  <c r="R34" i="19"/>
  <c r="R50" i="19" s="1"/>
  <c r="N33" i="19"/>
  <c r="N49" i="19" s="1"/>
  <c r="O17" i="20" s="1"/>
  <c r="Q36" i="19"/>
  <c r="Q52" i="19" s="1"/>
  <c r="R20" i="20" s="1"/>
  <c r="P36" i="19"/>
  <c r="P52" i="19" s="1"/>
  <c r="Q20" i="20" s="1"/>
  <c r="O34" i="19"/>
  <c r="O50" i="19" s="1"/>
  <c r="P18" i="20" s="1"/>
  <c r="R33" i="19"/>
  <c r="R49" i="19" s="1"/>
  <c r="M19" i="20"/>
  <c r="M35" i="19"/>
  <c r="M51" i="19" s="1"/>
  <c r="N19" i="20" s="1"/>
  <c r="Q35" i="19"/>
  <c r="Q51" i="19" s="1"/>
  <c r="R19" i="20" s="1"/>
  <c r="P37" i="19"/>
  <c r="P53" i="19" s="1"/>
  <c r="Q21" i="20" s="1"/>
  <c r="O33" i="19"/>
  <c r="O49" i="19" s="1"/>
  <c r="P17" i="20" s="1"/>
  <c r="N35" i="19"/>
  <c r="N51" i="19" s="1"/>
  <c r="O19" i="20" s="1"/>
  <c r="M36" i="19"/>
  <c r="M52" i="19" s="1"/>
  <c r="N20" i="20" s="1"/>
  <c r="M20" i="20"/>
  <c r="Q32" i="19"/>
  <c r="Q48" i="19" s="1"/>
  <c r="R16" i="20" s="1"/>
  <c r="P31" i="19"/>
  <c r="P47" i="19" s="1"/>
  <c r="Q15" i="20" s="1"/>
  <c r="R37" i="19"/>
  <c r="R53" i="19" s="1"/>
  <c r="N36" i="19"/>
  <c r="N52" i="19" s="1"/>
  <c r="O20" i="20" s="1"/>
  <c r="M37" i="19"/>
  <c r="M53" i="19" s="1"/>
  <c r="N21" i="20" s="1"/>
  <c r="M21" i="20"/>
  <c r="Q37" i="19"/>
  <c r="Q53" i="19" s="1"/>
  <c r="R21" i="20" s="1"/>
  <c r="P30" i="19"/>
  <c r="P46" i="19" s="1"/>
  <c r="Q14" i="20" s="1"/>
  <c r="O35" i="19"/>
  <c r="O51" i="19" s="1"/>
  <c r="P19" i="20" s="1"/>
  <c r="R35" i="19"/>
  <c r="R51" i="19" s="1"/>
  <c r="N37" i="19"/>
  <c r="N53" i="19" s="1"/>
  <c r="O21" i="20" s="1"/>
  <c r="M30" i="19"/>
  <c r="M46" i="19" s="1"/>
  <c r="N14" i="20" s="1"/>
  <c r="M14" i="20"/>
  <c r="Q31" i="19"/>
  <c r="Q47" i="19" s="1"/>
  <c r="R15" i="20" s="1"/>
  <c r="P32" i="19"/>
  <c r="P48" i="19" s="1"/>
  <c r="Q16" i="20" s="1"/>
  <c r="O36" i="19"/>
  <c r="O52" i="19" s="1"/>
  <c r="P20" i="20" s="1"/>
  <c r="R36" i="19"/>
  <c r="R52" i="19" s="1"/>
  <c r="N29" i="19"/>
  <c r="N45" i="19" s="1"/>
  <c r="O13" i="20" s="1"/>
  <c r="M31" i="19"/>
  <c r="M47" i="19" s="1"/>
  <c r="N15" i="20" s="1"/>
  <c r="M15" i="20"/>
  <c r="Q27" i="19"/>
  <c r="Q43" i="19" s="1"/>
  <c r="R11" i="20" s="1"/>
  <c r="P27" i="19"/>
  <c r="P43" i="19" s="1"/>
  <c r="Q11" i="20" s="1"/>
  <c r="O37" i="19"/>
  <c r="O53" i="19" s="1"/>
  <c r="P21" i="20" s="1"/>
  <c r="R31" i="19"/>
  <c r="R47" i="19" s="1"/>
  <c r="N31" i="19"/>
  <c r="N47" i="19" s="1"/>
  <c r="O15" i="20" s="1"/>
  <c r="M32" i="19"/>
  <c r="M48" i="19" s="1"/>
  <c r="N16" i="20" s="1"/>
  <c r="M16" i="20"/>
  <c r="Q29" i="19"/>
  <c r="Q45" i="19" s="1"/>
  <c r="R13" i="20" s="1"/>
  <c r="P28" i="19"/>
  <c r="P44" i="19" s="1"/>
  <c r="Q12" i="20" s="1"/>
  <c r="O30" i="19"/>
  <c r="O46" i="19" s="1"/>
  <c r="P14" i="20" s="1"/>
  <c r="R32" i="19"/>
  <c r="R48" i="19" s="1"/>
  <c r="N30" i="19"/>
  <c r="N46" i="19" s="1"/>
  <c r="O14" i="20" s="1"/>
  <c r="M29" i="19"/>
  <c r="M45" i="19" s="1"/>
  <c r="N13" i="20" s="1"/>
  <c r="M13" i="20"/>
  <c r="Q33" i="19"/>
  <c r="Q49" i="19" s="1"/>
  <c r="R17" i="20" s="1"/>
  <c r="P34" i="19"/>
  <c r="P50" i="19" s="1"/>
  <c r="Q18" i="20" s="1"/>
  <c r="O31" i="19"/>
  <c r="O47" i="19" s="1"/>
  <c r="P15" i="20" s="1"/>
  <c r="R30" i="19"/>
  <c r="R46" i="19" s="1"/>
  <c r="N27" i="19"/>
  <c r="N43" i="19" s="1"/>
  <c r="O11" i="20" s="1"/>
  <c r="M28" i="19"/>
  <c r="M44" i="19" s="1"/>
  <c r="N12" i="20" s="1"/>
  <c r="M12" i="20"/>
  <c r="Q28" i="19"/>
  <c r="Q44" i="19" s="1"/>
  <c r="R12" i="20" s="1"/>
  <c r="P29" i="19"/>
  <c r="P45" i="19" s="1"/>
  <c r="Q13" i="20" s="1"/>
  <c r="O32" i="19"/>
  <c r="O48" i="19" s="1"/>
  <c r="P16" i="20" s="1"/>
  <c r="R27" i="19"/>
  <c r="R43" i="19" s="1"/>
  <c r="N32" i="19"/>
  <c r="N48" i="19" s="1"/>
  <c r="O16" i="20" s="1"/>
  <c r="M27" i="19"/>
  <c r="M43" i="19" s="1"/>
  <c r="N11" i="20" s="1"/>
  <c r="M11" i="20"/>
  <c r="Q30" i="19"/>
  <c r="Q46" i="19" s="1"/>
  <c r="R14" i="20" s="1"/>
  <c r="P33" i="19"/>
  <c r="P49" i="19" s="1"/>
  <c r="Q17" i="20" s="1"/>
  <c r="H30" i="19"/>
  <c r="H46" i="19" s="1"/>
  <c r="I14" i="20" s="1"/>
  <c r="G32" i="19"/>
  <c r="G48" i="19" s="1"/>
  <c r="H16" i="20" s="1"/>
  <c r="H32" i="19"/>
  <c r="H48" i="19" s="1"/>
  <c r="I16" i="20" s="1"/>
  <c r="F28" i="19"/>
  <c r="F44" i="19" s="1"/>
  <c r="G12" i="20" s="1"/>
  <c r="I37" i="19"/>
  <c r="I53" i="19" s="1"/>
  <c r="F37" i="19"/>
  <c r="F53" i="19" s="1"/>
  <c r="D35" i="19"/>
  <c r="D51" i="19" s="1"/>
  <c r="E19" i="20" s="1"/>
  <c r="D19" i="20"/>
  <c r="G31" i="19"/>
  <c r="G47" i="19" s="1"/>
  <c r="H15" i="20" s="1"/>
  <c r="E36" i="19"/>
  <c r="E52" i="19" s="1"/>
  <c r="F20" i="20" s="1"/>
  <c r="I34" i="19"/>
  <c r="I50" i="19" s="1"/>
  <c r="E31" i="19"/>
  <c r="E47" i="19" s="1"/>
  <c r="F15" i="20" s="1"/>
  <c r="I31" i="19"/>
  <c r="I47" i="19" s="1"/>
  <c r="E27" i="19"/>
  <c r="E43" i="19" s="1"/>
  <c r="F11" i="20" s="1"/>
  <c r="H35" i="19"/>
  <c r="H51" i="19" s="1"/>
  <c r="I19" i="20" s="1"/>
  <c r="I27" i="19"/>
  <c r="I43" i="19" s="1"/>
  <c r="F30" i="19"/>
  <c r="F46" i="19" s="1"/>
  <c r="G14" i="20" s="1"/>
  <c r="D31" i="19"/>
  <c r="D47" i="19" s="1"/>
  <c r="E15" i="20" s="1"/>
  <c r="D15" i="20"/>
  <c r="E34" i="19"/>
  <c r="E50" i="19" s="1"/>
  <c r="F18" i="20" s="1"/>
  <c r="F32" i="19"/>
  <c r="F48" i="19" s="1"/>
  <c r="G16" i="20" s="1"/>
  <c r="G34" i="19"/>
  <c r="G50" i="19" s="1"/>
  <c r="H18" i="20" s="1"/>
  <c r="I30" i="19"/>
  <c r="I46" i="19" s="1"/>
  <c r="D30" i="19"/>
  <c r="D46" i="19" s="1"/>
  <c r="E14" i="20" s="1"/>
  <c r="D14" i="20"/>
  <c r="E35" i="19"/>
  <c r="E51" i="19" s="1"/>
  <c r="F19" i="20" s="1"/>
  <c r="F35" i="19"/>
  <c r="F51" i="19" s="1"/>
  <c r="G19" i="20" s="1"/>
  <c r="I28" i="19"/>
  <c r="I44" i="19" s="1"/>
  <c r="D33" i="19"/>
  <c r="D49" i="19" s="1"/>
  <c r="E17" i="20" s="1"/>
  <c r="D17" i="20"/>
  <c r="E37" i="19"/>
  <c r="E53" i="19" s="1"/>
  <c r="F21" i="20" s="1"/>
  <c r="G29" i="19"/>
  <c r="G45" i="19" s="1"/>
  <c r="H13" i="20" s="1"/>
  <c r="D34" i="19"/>
  <c r="D50" i="19" s="1"/>
  <c r="E18" i="20" s="1"/>
  <c r="D18" i="20"/>
  <c r="H34" i="19"/>
  <c r="H50" i="19" s="1"/>
  <c r="I18" i="20" s="1"/>
  <c r="E28" i="19"/>
  <c r="E44" i="19" s="1"/>
  <c r="F12" i="20" s="1"/>
  <c r="G33" i="19"/>
  <c r="G49" i="19" s="1"/>
  <c r="H17" i="20" s="1"/>
  <c r="I33" i="19"/>
  <c r="I49" i="19" s="1"/>
  <c r="H37" i="19"/>
  <c r="H53" i="19" s="1"/>
  <c r="I21" i="20" s="1"/>
  <c r="E32" i="19"/>
  <c r="E48" i="19" s="1"/>
  <c r="F16" i="20" s="1"/>
  <c r="F31" i="19"/>
  <c r="F47" i="19" s="1"/>
  <c r="G15" i="20" s="1"/>
  <c r="I35" i="19"/>
  <c r="I51" i="19" s="1"/>
  <c r="D36" i="19"/>
  <c r="D52" i="19" s="1"/>
  <c r="E20" i="20" s="1"/>
  <c r="D20" i="20"/>
  <c r="H31" i="19"/>
  <c r="H47" i="19" s="1"/>
  <c r="I15" i="20" s="1"/>
  <c r="F33" i="19"/>
  <c r="F49" i="19" s="1"/>
  <c r="G17" i="20" s="1"/>
  <c r="G27" i="19"/>
  <c r="G43" i="19" s="1"/>
  <c r="H11" i="20" s="1"/>
  <c r="D32" i="19"/>
  <c r="D48" i="19" s="1"/>
  <c r="E16" i="20" s="1"/>
  <c r="D16" i="20"/>
  <c r="H33" i="19"/>
  <c r="H49" i="19" s="1"/>
  <c r="I17" i="20" s="1"/>
  <c r="F29" i="19"/>
  <c r="F45" i="19" s="1"/>
  <c r="G13" i="20" s="1"/>
  <c r="G35" i="19"/>
  <c r="G51" i="19" s="1"/>
  <c r="H19" i="20" s="1"/>
  <c r="D28" i="19"/>
  <c r="D44" i="19" s="1"/>
  <c r="E12" i="20" s="1"/>
  <c r="D12" i="20"/>
  <c r="H27" i="19"/>
  <c r="H43" i="19" s="1"/>
  <c r="I11" i="20" s="1"/>
  <c r="F27" i="19"/>
  <c r="F43" i="19" s="1"/>
  <c r="G11" i="20" s="1"/>
  <c r="I36" i="19"/>
  <c r="I52" i="19" s="1"/>
  <c r="D29" i="19"/>
  <c r="D45" i="19" s="1"/>
  <c r="E13" i="20" s="1"/>
  <c r="D13" i="20"/>
  <c r="E29" i="19"/>
  <c r="E45" i="19" s="1"/>
  <c r="F13" i="20" s="1"/>
  <c r="G30" i="19"/>
  <c r="G46" i="19" s="1"/>
  <c r="H14" i="20" s="1"/>
  <c r="D27" i="19"/>
  <c r="D43" i="19" s="1"/>
  <c r="E11" i="20" s="1"/>
  <c r="D11" i="20"/>
  <c r="H29" i="19"/>
  <c r="H45" i="19" s="1"/>
  <c r="I13" i="20" s="1"/>
  <c r="G36" i="19"/>
  <c r="G52" i="19" s="1"/>
  <c r="H20" i="20" s="1"/>
  <c r="I32" i="19"/>
  <c r="I48" i="19" s="1"/>
  <c r="I29" i="19"/>
  <c r="I45" i="19" s="1"/>
  <c r="H36" i="19"/>
  <c r="H52" i="19" s="1"/>
  <c r="I20" i="20" s="1"/>
  <c r="E33" i="19"/>
  <c r="E49" i="19" s="1"/>
  <c r="F17" i="20" s="1"/>
  <c r="F34" i="19"/>
  <c r="F50" i="19" s="1"/>
  <c r="G18" i="20" s="1"/>
  <c r="G28" i="19"/>
  <c r="G44" i="19" s="1"/>
  <c r="H12" i="20" s="1"/>
  <c r="D37" i="19"/>
  <c r="D53" i="19" s="1"/>
  <c r="E21" i="20" s="1"/>
  <c r="D21" i="20"/>
  <c r="H28" i="19"/>
  <c r="H44" i="19" s="1"/>
  <c r="I12" i="20" s="1"/>
  <c r="E30" i="19"/>
  <c r="E46" i="19" s="1"/>
  <c r="F14" i="20" s="1"/>
  <c r="F36" i="19"/>
  <c r="F52" i="19" s="1"/>
  <c r="G20" i="20" s="1"/>
  <c r="G37" i="19"/>
  <c r="G53" i="19" s="1"/>
  <c r="H21" i="20" s="1"/>
  <c r="G21" i="20"/>
  <c r="I26" i="19"/>
  <c r="I42" i="19" s="1"/>
  <c r="X26" i="19"/>
  <c r="X42" i="19" s="1"/>
  <c r="Y10" i="20" s="1"/>
  <c r="Z26" i="19"/>
  <c r="Z42" i="19" s="1"/>
  <c r="AA10" i="20" s="1"/>
  <c r="H26" i="19"/>
  <c r="H42" i="19" s="1"/>
  <c r="I10" i="20" s="1"/>
  <c r="O26" i="19"/>
  <c r="O42" i="19" s="1"/>
  <c r="P10" i="20" s="1"/>
  <c r="P26" i="19"/>
  <c r="P42" i="19" s="1"/>
  <c r="Q10" i="20" s="1"/>
  <c r="Y26" i="19"/>
  <c r="Y42" i="19" s="1"/>
  <c r="Z10" i="20" s="1"/>
  <c r="Q26" i="19"/>
  <c r="Q42" i="19" s="1"/>
  <c r="R10" i="20" s="1"/>
  <c r="AA26" i="19"/>
  <c r="AA42" i="19" s="1"/>
  <c r="M26" i="19"/>
  <c r="M42" i="19" s="1"/>
  <c r="N10" i="20" s="1"/>
  <c r="M10" i="20"/>
  <c r="R26" i="19"/>
  <c r="R42" i="19" s="1"/>
  <c r="W26" i="19"/>
  <c r="W42" i="19" s="1"/>
  <c r="X10" i="20" s="1"/>
  <c r="G26" i="19"/>
  <c r="G42" i="19" s="1"/>
  <c r="H10" i="20" s="1"/>
  <c r="E26" i="19"/>
  <c r="E42" i="19" s="1"/>
  <c r="F10" i="20" s="1"/>
  <c r="D26" i="19"/>
  <c r="D42" i="19" s="1"/>
  <c r="E10" i="20" s="1"/>
  <c r="D10" i="20"/>
  <c r="N26" i="19"/>
  <c r="N42" i="19" s="1"/>
  <c r="O10" i="20" s="1"/>
  <c r="V10" i="20"/>
  <c r="V26" i="19"/>
  <c r="V42" i="19" s="1"/>
  <c r="W10" i="20" s="1"/>
  <c r="F26" i="19"/>
  <c r="F42" i="19" s="1"/>
  <c r="G10" i="20" s="1"/>
  <c r="D41" i="20" l="1"/>
  <c r="F17" i="17" s="1"/>
  <c r="F39" i="20"/>
  <c r="G37" i="20"/>
  <c r="G42" i="20"/>
  <c r="F40" i="20"/>
  <c r="G43" i="20"/>
  <c r="D36" i="20"/>
  <c r="F12" i="17" s="1"/>
  <c r="I42" i="20"/>
  <c r="D34" i="20"/>
  <c r="F10" i="17" s="1"/>
  <c r="D40" i="20"/>
  <c r="F16" i="17" s="1"/>
  <c r="H43" i="20"/>
  <c r="I41" i="20"/>
  <c r="E33" i="20"/>
  <c r="G40" i="20"/>
  <c r="G36" i="20"/>
  <c r="E34" i="20"/>
  <c r="E39" i="20"/>
  <c r="H36" i="20"/>
  <c r="H41" i="20"/>
  <c r="F37" i="20"/>
  <c r="G35" i="20"/>
  <c r="F43" i="20"/>
  <c r="F42" i="20"/>
  <c r="E35" i="20"/>
  <c r="I36" i="20"/>
  <c r="H42" i="20"/>
  <c r="F35" i="20"/>
  <c r="F38" i="20"/>
  <c r="E43" i="20"/>
  <c r="I37" i="20"/>
  <c r="I43" i="20"/>
  <c r="E36" i="20"/>
  <c r="D35" i="20"/>
  <c r="F11" i="17" s="1"/>
  <c r="D38" i="20"/>
  <c r="F14" i="17" s="1"/>
  <c r="E38" i="20"/>
  <c r="I39" i="20"/>
  <c r="D39" i="20"/>
  <c r="F15" i="17" s="1"/>
  <c r="G38" i="20"/>
  <c r="E37" i="20"/>
  <c r="F34" i="20"/>
  <c r="H34" i="20"/>
  <c r="E40" i="20"/>
  <c r="G34" i="20"/>
  <c r="I34" i="20"/>
  <c r="F33" i="20"/>
  <c r="G39" i="20"/>
  <c r="H39" i="20"/>
  <c r="H38" i="20"/>
  <c r="D43" i="20"/>
  <c r="F19" i="17" s="1"/>
  <c r="H35" i="20"/>
  <c r="G33" i="20"/>
  <c r="H37" i="20"/>
  <c r="F41" i="20"/>
  <c r="D37" i="20"/>
  <c r="F13" i="17" s="1"/>
  <c r="E42" i="20"/>
  <c r="I38" i="20"/>
  <c r="I35" i="20"/>
  <c r="H33" i="20"/>
  <c r="H40" i="20"/>
  <c r="G41" i="20"/>
  <c r="D33" i="20"/>
  <c r="F9" i="17" s="1"/>
  <c r="I33" i="20"/>
  <c r="D42" i="20"/>
  <c r="F18" i="17" s="1"/>
  <c r="I40" i="20"/>
  <c r="E41" i="20"/>
  <c r="F36" i="20"/>
  <c r="G32" i="20"/>
  <c r="H32" i="20"/>
  <c r="I32" i="20"/>
  <c r="F32" i="20"/>
  <c r="E32" i="20"/>
  <c r="D32" i="20"/>
  <c r="F8" i="17" s="1"/>
  <c r="J41" i="20" l="1"/>
  <c r="J35" i="20"/>
  <c r="J40" i="20"/>
  <c r="J36" i="20"/>
  <c r="J38" i="20"/>
  <c r="J39" i="20"/>
  <c r="J42" i="20"/>
  <c r="J43" i="20"/>
  <c r="J37" i="20"/>
  <c r="J34" i="20"/>
  <c r="J33" i="20"/>
  <c r="J32" i="20"/>
  <c r="G8" i="17" s="1"/>
  <c r="I20" i="17" l="1"/>
  <c r="L8" i="17" s="1"/>
  <c r="L10" i="17" s="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<sst xmlns="http://schemas.openxmlformats.org/spreadsheetml/2006/main" count="292" uniqueCount="147">
  <si>
    <t>PD Calibration and Scaling</t>
  </si>
  <si>
    <t>Confidence Interval</t>
  </si>
  <si>
    <t>Macroeconomic Variable: Historical and Forecasted Values</t>
  </si>
  <si>
    <t>Series Title</t>
  </si>
  <si>
    <t xml:space="preserve">Unemployment Rate </t>
  </si>
  <si>
    <t>GDP</t>
  </si>
  <si>
    <t>Inflation</t>
  </si>
  <si>
    <t>Govt_Revenue</t>
  </si>
  <si>
    <t>General government gross debt</t>
  </si>
  <si>
    <t>Variable</t>
  </si>
  <si>
    <t>Selected MEV</t>
  </si>
  <si>
    <t>Scenerio Development</t>
  </si>
  <si>
    <t xml:space="preserve">Long Term Mean </t>
  </si>
  <si>
    <t>Standard Deviation</t>
  </si>
  <si>
    <t>Z_Factor</t>
  </si>
  <si>
    <t>MEV_Index</t>
  </si>
  <si>
    <t xml:space="preserve">Index </t>
  </si>
  <si>
    <t>MEV Scenario</t>
  </si>
  <si>
    <t>Base</t>
  </si>
  <si>
    <t>Upturn</t>
  </si>
  <si>
    <t>Downturn</t>
  </si>
  <si>
    <t>Forecast Probability of Default</t>
  </si>
  <si>
    <t>Scenario Weights</t>
  </si>
  <si>
    <t>Point-In-Time Probability of Default</t>
  </si>
  <si>
    <t>PIT PD</t>
  </si>
  <si>
    <t>Grades</t>
  </si>
  <si>
    <t>TTC</t>
  </si>
  <si>
    <t>Asset Correlation</t>
  </si>
  <si>
    <t>Scenario Multiplier</t>
  </si>
  <si>
    <t>EAD</t>
  </si>
  <si>
    <t>PD</t>
  </si>
  <si>
    <t>LGD</t>
  </si>
  <si>
    <t>ECL</t>
  </si>
  <si>
    <t>CRISIL Default TTC PD</t>
  </si>
  <si>
    <t>CRISIL RATING</t>
  </si>
  <si>
    <t>Frequency Distribution</t>
  </si>
  <si>
    <t xml:space="preserve">Client Name </t>
  </si>
  <si>
    <t>Rating</t>
  </si>
  <si>
    <t>Frequency</t>
  </si>
  <si>
    <t xml:space="preserve">Product Type </t>
  </si>
  <si>
    <t xml:space="preserve">Industry Type </t>
  </si>
  <si>
    <t xml:space="preserve">Rating Agency </t>
  </si>
  <si>
    <t>National Thermal Power Corporation</t>
  </si>
  <si>
    <t>Lease Financing</t>
  </si>
  <si>
    <t>National Thermal Power Corporation Renewable Energy Limited (PPA WITH INDIAN RAILWAY)</t>
  </si>
  <si>
    <t>Term Loan</t>
  </si>
  <si>
    <t>National Thermal Power Corporation (SUPPLY TO INDIAN RAILWAY)</t>
  </si>
  <si>
    <t>Angul Sukinda Railway Line</t>
  </si>
  <si>
    <t>Surat Integrated Transportation Development Corporation Limited (RLDA)</t>
  </si>
  <si>
    <t>Bhartiya Rail Corporation Limited</t>
  </si>
  <si>
    <t>Chhattisgarh State Power Generation Ltd.</t>
  </si>
  <si>
    <t>Talcher Fertilizer Limited</t>
  </si>
  <si>
    <t>Patratu Vidyut Utpadan Nigam Limited</t>
  </si>
  <si>
    <t>Haryana Power Generation Corporation Limited</t>
  </si>
  <si>
    <t>Maharashtra State Power Generation Corporation Limited</t>
  </si>
  <si>
    <t>Dedicated Freight Corridor Corporation of India Limited</t>
  </si>
  <si>
    <t>Hindustan Urvarak and Rasayan Limited</t>
  </si>
  <si>
    <t>Power</t>
  </si>
  <si>
    <t>CRISIL</t>
  </si>
  <si>
    <t>AAA</t>
  </si>
  <si>
    <t>India Rating</t>
  </si>
  <si>
    <t>IND AAA</t>
  </si>
  <si>
    <t>Railways</t>
  </si>
  <si>
    <t xml:space="preserve">IND BB+ </t>
  </si>
  <si>
    <t>ICRA</t>
  </si>
  <si>
    <t>AA+</t>
  </si>
  <si>
    <t>IND A</t>
  </si>
  <si>
    <t>Fertilizers</t>
  </si>
  <si>
    <t>BBB+</t>
  </si>
  <si>
    <t>A-</t>
  </si>
  <si>
    <t>Ind A+</t>
  </si>
  <si>
    <t>Acuite Rating</t>
  </si>
  <si>
    <t>IND AA</t>
  </si>
  <si>
    <t>Unrated</t>
  </si>
  <si>
    <t>BB+</t>
  </si>
  <si>
    <t>A</t>
  </si>
  <si>
    <t>A+</t>
  </si>
  <si>
    <t>AA</t>
  </si>
  <si>
    <t>Survival Analysis</t>
  </si>
  <si>
    <t>(1-p)</t>
  </si>
  <si>
    <t>(1-p)*(1-p)….</t>
  </si>
  <si>
    <t>Forecast Marginal Probability of Default</t>
  </si>
  <si>
    <t>Life time PD</t>
  </si>
  <si>
    <t>Drawn Balance (₹ Cr)</t>
  </si>
  <si>
    <t>Undrawn Commitment (₹ Cr)</t>
  </si>
  <si>
    <t>Total Exposure (₹ Cr)</t>
  </si>
  <si>
    <t>Accrued Interest (₹ Cr)</t>
  </si>
  <si>
    <t>CCF Applied (%)</t>
  </si>
  <si>
    <t>Final EAD</t>
  </si>
  <si>
    <t>SL.No</t>
  </si>
  <si>
    <t>AA-</t>
  </si>
  <si>
    <t>Lifetime PD</t>
  </si>
  <si>
    <t>Stage</t>
  </si>
  <si>
    <t>N</t>
  </si>
  <si>
    <t>BBB</t>
  </si>
  <si>
    <t>BBB-</t>
  </si>
  <si>
    <t>SICR</t>
  </si>
  <si>
    <t>Total</t>
  </si>
  <si>
    <t xml:space="preserve">Since there has been no movement in rating from the date of disbursement to the current date, no significant increase in credit risk has been identified. Therefore, all accounts have been classified as Stage 1. </t>
  </si>
  <si>
    <t>In the absence of historical delinquency migration data (DPD bucket movements) to support an internal PD estimate, we have adopted CRISIL's credit rating-based default rates as a proxy for the Through-the-Cycle (TTC) Probability of Default (PD)</t>
  </si>
  <si>
    <t>PD Assumption</t>
  </si>
  <si>
    <t>CCF</t>
  </si>
  <si>
    <t>Assumptions</t>
  </si>
  <si>
    <t>MEV Selection</t>
  </si>
  <si>
    <t>In the absence of historical internal default data, we have adopted the RBI-prescribed LGD rate of 65%. This conservative approach serves as a robust proxy for recovery estimation given the lack of realized loss experience.</t>
  </si>
  <si>
    <t>Sr No.</t>
  </si>
  <si>
    <t>For currently unrated exposures, a conservative rating of BB+ has been assigned as a proxy rating to facilitate PD estimation, reflecting the inherent uncertainty associated with the absence of an external rating assessment as of the reporting date.</t>
  </si>
  <si>
    <t>A minimum PD of 0.03% has been assumed, based on the default rate prescribed by CRISIL for AAA-rated exposures.</t>
  </si>
  <si>
    <t xml:space="preserve">Area </t>
  </si>
  <si>
    <t>Link For Crisil PD's</t>
  </si>
  <si>
    <t>SICR(Y/N)*</t>
  </si>
  <si>
    <r>
      <rPr>
        <b/>
        <sz val="11"/>
        <color theme="1"/>
        <rFont val="Calibri"/>
        <family val="2"/>
      </rPr>
      <t>* SICR Assumption:</t>
    </r>
    <r>
      <rPr>
        <sz val="11"/>
        <color theme="1"/>
        <rFont val="Calibri"/>
        <family val="2"/>
      </rPr>
      <t xml:space="preserve"> Exposures where the Days Past Due (DPD) exceed 30 days are classified under Stage 2.</t>
    </r>
  </si>
  <si>
    <t>Stage 1</t>
  </si>
  <si>
    <t>Check on rows</t>
  </si>
  <si>
    <t>Exposure and Rating Wise client date for PD calculation</t>
  </si>
  <si>
    <t>Screeen shot of Crisil PD Matrix</t>
  </si>
  <si>
    <t>https://www.crisil.com/content/dam/crisil/our-analysis/publications/default-study/crisil-ratings-annual-default-and-ratings-transition-study-fy-2025.pdf</t>
  </si>
  <si>
    <t xml:space="preserve"> Rating wise TTC PD*:</t>
  </si>
  <si>
    <r>
      <rPr>
        <b/>
        <sz val="11"/>
        <color theme="1"/>
        <rFont val="Aptos Narrow"/>
        <family val="2"/>
        <scheme val="minor"/>
      </rPr>
      <t>* Note</t>
    </r>
    <r>
      <rPr>
        <sz val="11"/>
        <color theme="1"/>
        <rFont val="Aptos Narrow"/>
        <family val="2"/>
        <scheme val="minor"/>
      </rPr>
      <t>: PD's to be changed on annual basis</t>
    </r>
  </si>
  <si>
    <t>Variable 1</t>
  </si>
  <si>
    <t>Variable 2</t>
  </si>
  <si>
    <t>Variable as per Policy</t>
  </si>
  <si>
    <t>Macro Economic Variable (MEV):</t>
  </si>
  <si>
    <t>Weights</t>
  </si>
  <si>
    <t>B</t>
  </si>
  <si>
    <t>C</t>
  </si>
  <si>
    <t>D</t>
  </si>
  <si>
    <t>E</t>
  </si>
  <si>
    <t>A. ECL as per the Model</t>
  </si>
  <si>
    <t>B. ECL as per IRAC Minimum Provision</t>
  </si>
  <si>
    <t>Amt in Crores</t>
  </si>
  <si>
    <t>ECL Computation</t>
  </si>
  <si>
    <t>C. Final ECL (Max of A or B)</t>
  </si>
  <si>
    <t>ECL Computation:</t>
  </si>
  <si>
    <t>MEV selected based on relevance to the portfolio as per the Policy</t>
  </si>
  <si>
    <t>Weights are assigned to the MEV as per the policy</t>
  </si>
  <si>
    <t>Taken as input parameter as provided by the client (For undrawn credit facilities, a Credit Conversion Factor (CCF) is applied based on the residual maturity of the commitment: 20% for facilities with a maturity of up to one year, and 50% for those exceeding one year)</t>
  </si>
  <si>
    <t>ECL value is floored to the minimum regulatory requirements</t>
  </si>
  <si>
    <t>Borrower Rating</t>
  </si>
  <si>
    <t>Borrower Rating (aligned)</t>
  </si>
  <si>
    <t>Stage 3</t>
  </si>
  <si>
    <t>Stage 2</t>
  </si>
  <si>
    <t xml:space="preserve">Stage 1 </t>
  </si>
  <si>
    <t>MEV Weights</t>
  </si>
  <si>
    <t>LTM(Long Term Mean)</t>
  </si>
  <si>
    <t>SD</t>
  </si>
  <si>
    <t>CV</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</si>
</sst>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5" formatCode="0.0%"/>
  </numFmts>
  <fonts count="18" x14ac:knownFonts="1">
    <font>
      <sz val="11"/>
      <color theme="1"/>
      <name val="Aptos Narrow"/>
      <family val="2"/>
      <scheme val="minor"/>
    </font>
    <font>
      <sz val="11"/>
      <color theme="1"/>
      <name val="Aptos Narrow"/>
      <family val="2"/>
      <scheme val="minor"/>
    </font>
    <font>
      <sz val="8"/>
      <color theme="1"/>
      <name val="Calibri"/>
      <family val="2"/>
    </font>
    <font>
      <sz val="8"/>
      <color theme="0"/>
      <name val="Calibri"/>
      <family val="2"/>
    </font>
    <font>
      <b/>
      <sz val="8"/>
      <color theme="0"/>
      <name val="Calibri"/>
      <family val="2"/>
    </font>
    <font>
      <sz val="8"/>
      <name val="Calibri"/>
      <family val="2"/>
    </font>
    <font>
      <b/>
      <sz val="10"/>
      <color theme="0"/>
      <name val="Calibri"/>
      <family val="2"/>
    </font>
    <font>
      <sz val="11"/>
      <color theme="1"/>
      <name val="Calibri"/>
      <family val="2"/>
    </font>
    <font>
      <b/>
      <sz val="10"/>
      <color rgb="FFFF0000"/>
      <name val="Calibri"/>
      <family val="2"/>
    </font>
    <font>
      <b/>
      <sz val="8"/>
      <color theme="0"/>
      <name val="Calibri"/>
      <family val="2"/>
    </font>
    <font>
      <sz val="8"/>
      <name val="Calibri"/>
      <family val="2"/>
    </font>
    <font>
      <b/>
      <sz val="11"/>
      <color theme="1"/>
      <name val="Aptos Narrow"/>
      <family val="2"/>
      <scheme val="minor"/>
    </font>
    <font>
      <b/>
      <sz val="11"/>
      <color theme="1"/>
      <name val="Calibri"/>
      <family val="2"/>
    </font>
    <font>
      <u/>
      <sz val="11"/>
      <color theme="10"/>
      <name val="Aptos Narrow"/>
      <family val="2"/>
      <scheme val="minor"/>
    </font>
    <font>
      <b/>
      <sz val="10"/>
      <color theme="1"/>
      <name val="Calibri"/>
      <family val="2"/>
    </font>
    <font>
      <b/>
      <sz val="9"/>
      <color theme="1"/>
      <name val="Calibri"/>
      <family val="2"/>
    </font>
    <font>
      <b/>
      <sz val="9"/>
      <color theme="1"/>
      <name val="Aptos Narrow"/>
      <family val="2"/>
      <scheme val="minor"/>
    </font>
    <font>
      <b/>
      <sz val="8"/>
      <color theme="1"/>
      <name val="Calibri"/>
      <family val="2"/>
    </font>
  </fonts>
  <fills count="9">
    <fill>
      <patternFill patternType="none"/>
    </fill>
    <fill>
      <patternFill patternType="gray125"/>
    </fill>
    <fill>
      <patternFill patternType="solid">
        <fgColor rgb="FF0C769E"/>
        <bgColor indexed="64"/>
      </patternFill>
    </fill>
    <fill>
      <patternFill patternType="solid">
        <fgColor theme="7" tint="-0.249977111117893"/>
        <bgColor indexed="64"/>
      </patternFill>
    </fill>
    <fill>
      <patternFill patternType="solid">
        <fgColor theme="0"/>
        <bgColor indexed="64"/>
      </patternFill>
    </fill>
    <fill>
      <patternFill patternType="solid">
        <fgColor theme="5" tint="-0.249977111117893"/>
        <bgColor indexed="64"/>
      </patternFill>
    </fill>
    <fill>
      <patternFill patternType="solid">
        <fgColor rgb="FF002060"/>
        <bgColor indexed="64"/>
      </patternFill>
    </fill>
    <fill>
      <patternFill patternType="solid">
        <fgColor theme="4"/>
        <bgColor indexed="64"/>
      </patternFill>
    </fill>
    <fill>
      <patternFill patternType="solid">
        <fgColor theme="5"/>
        <bgColor indexed="64"/>
      </patternFill>
    </fill>
  </fills>
  <borders count="25">
    <border>
      <left/>
      <right/>
      <top/>
      <bottom/>
      <diagonal/>
    </border>
    <border>
      <left style="thin">
        <color rgb="FF0C769E"/>
      </left>
      <right style="thin">
        <color rgb="FF0C769E"/>
      </right>
      <top style="thin">
        <color rgb="FF0C769E"/>
      </top>
      <bottom style="thin">
        <color rgb="FF0C769E"/>
      </bottom>
      <diagonal/>
    </border>
    <border>
      <left style="thin">
        <color rgb="FF5468F8"/>
      </left>
      <right style="thin">
        <color rgb="FF5468F8"/>
      </right>
      <top style="thin">
        <color rgb="FF5468F8"/>
      </top>
      <bottom style="thin">
        <color rgb="FF5468F8"/>
      </bottom>
      <diagonal/>
    </border>
    <border>
      <left style="thin">
        <color rgb="FF0C769E"/>
      </left>
      <right style="thin">
        <color rgb="FF0C769E"/>
      </right>
      <top/>
      <bottom style="thin">
        <color rgb="FF0C769E"/>
      </bottom>
      <diagonal/>
    </border>
    <border>
      <left style="thin">
        <color rgb="FF0C769E"/>
      </left>
      <right/>
      <top style="thin">
        <color rgb="FF0C769E"/>
      </top>
      <bottom style="thin">
        <color rgb="FF0C769E"/>
      </bottom>
      <diagonal/>
    </border>
    <border>
      <left style="thin">
        <color rgb="FF5468F8"/>
      </left>
      <right/>
      <top style="thin">
        <color rgb="FF5468F8"/>
      </top>
      <bottom style="thin">
        <color rgb="FF5468F8"/>
      </bottom>
      <diagonal/>
    </border>
    <border>
      <left style="thin">
        <color rgb="FF0C769E"/>
      </left>
      <right style="thin">
        <color rgb="FF0C769E"/>
      </right>
      <top style="thin">
        <color rgb="FF0C769E"/>
      </top>
      <bottom/>
      <diagonal/>
    </border>
    <border>
      <left style="thin">
        <color theme="5" tint="-0.249977111117893"/>
      </left>
      <right style="thin">
        <color theme="5" tint="-0.249977111117893"/>
      </right>
      <top style="thin">
        <color theme="5" tint="-0.249977111117893"/>
      </top>
      <bottom/>
      <diagonal/>
    </border>
    <border>
      <left style="thin">
        <color theme="5" tint="-0.249977111117893"/>
      </left>
      <right style="thin">
        <color theme="5" tint="-0.249977111117893"/>
      </right>
      <top style="thin">
        <color theme="5" tint="-0.249977111117893"/>
      </top>
      <bottom style="thin">
        <color theme="5" tint="-0.249977111117893"/>
      </bottom>
      <diagonal/>
    </border>
    <border>
      <left style="thin">
        <color rgb="FF002060"/>
      </left>
      <right style="thin">
        <color rgb="FF002060"/>
      </right>
      <top style="thin">
        <color rgb="FF002060"/>
      </top>
      <bottom style="thin">
        <color rgb="FF002060"/>
      </bottom>
      <diagonal/>
    </border>
    <border>
      <left style="thin">
        <color rgb="FF5468F8"/>
      </left>
      <right style="thin">
        <color rgb="FF5468F8"/>
      </right>
      <top/>
      <bottom style="thin">
        <color rgb="FF5468F8"/>
      </bottom>
      <diagonal/>
    </border>
    <border>
      <left style="thin">
        <color theme="5"/>
      </left>
      <right style="thin">
        <color theme="5"/>
      </right>
      <top style="thin">
        <color theme="5"/>
      </top>
      <bottom style="thin">
        <color theme="5"/>
      </bottom>
      <diagonal/>
    </border>
    <border>
      <left style="thin">
        <color theme="5" tint="-0.249977111117893"/>
      </left>
      <right/>
      <top style="thin">
        <color theme="5" tint="-0.249977111117893"/>
      </top>
      <bottom style="thin">
        <color theme="5" tint="-0.249977111117893"/>
      </bottom>
      <diagonal/>
    </border>
    <border>
      <left style="double">
        <color theme="0"/>
      </left>
      <right style="double">
        <color theme="0"/>
      </right>
      <top style="double">
        <color theme="0"/>
      </top>
      <bottom style="double">
        <color theme="0"/>
      </bottom>
      <diagonal/>
    </border>
    <border>
      <left style="thin">
        <color theme="0"/>
      </left>
      <right style="thin">
        <color theme="0"/>
      </right>
      <top style="thin">
        <color theme="0"/>
      </top>
      <bottom style="thin">
        <color theme="0"/>
      </bottom>
      <diagonal/>
    </border>
    <border>
      <left style="thin">
        <color theme="0"/>
      </left>
      <right/>
      <top style="thin">
        <color theme="0"/>
      </top>
      <bottom style="thin">
        <color theme="0"/>
      </bottom>
      <diagonal/>
    </border>
    <border>
      <left/>
      <right/>
      <top style="thin">
        <color theme="0"/>
      </top>
      <bottom style="thin">
        <color theme="0"/>
      </bottom>
      <diagonal/>
    </border>
    <border>
      <left/>
      <right style="thin">
        <color theme="0"/>
      </right>
      <top style="thin">
        <color theme="0"/>
      </top>
      <bottom style="thin">
        <color theme="0"/>
      </bottom>
      <diagonal/>
    </border>
    <border>
      <left style="double">
        <color theme="0"/>
      </left>
      <right/>
      <top style="double">
        <color theme="0"/>
      </top>
      <bottom style="double">
        <color theme="0"/>
      </bottom>
      <diagonal/>
    </border>
    <border>
      <left/>
      <right style="double">
        <color theme="0"/>
      </right>
      <top style="double">
        <color theme="0"/>
      </top>
      <bottom style="double">
        <color theme="0"/>
      </bottom>
      <diagonal/>
    </border>
    <border>
      <left/>
      <right/>
      <top style="double">
        <color theme="0"/>
      </top>
      <bottom style="double">
        <color theme="0"/>
      </bottom>
      <diagonal/>
    </border>
    <border>
      <left style="thin">
        <color theme="5" tint="-0.249977111117893"/>
      </left>
      <right style="thin">
        <color theme="5" tint="-0.249977111117893"/>
      </right>
      <top/>
      <bottom style="thin">
        <color theme="5" tint="-0.249977111117893"/>
      </bottom>
      <diagonal/>
    </border>
    <border>
      <left/>
      <right style="thin">
        <color rgb="FF0C769E"/>
      </right>
      <top style="thin">
        <color rgb="FF0C769E"/>
      </top>
      <bottom style="thin">
        <color rgb="FF0C769E"/>
      </bottom>
      <diagonal/>
    </border>
    <border>
      <left style="thin">
        <color rgb="FF0C769E"/>
      </left>
      <right/>
      <top/>
      <bottom style="thin">
        <color rgb="FF0C769E"/>
      </bottom>
      <diagonal/>
    </border>
    <border>
      <left/>
      <right/>
      <top/>
      <bottom style="thin">
        <color rgb="FF0C769E"/>
      </bottom>
      <diagonal/>
    </border>
  </borders>
  <cellStyleXfs count="3">
    <xf numFmtId="0" fontId="0" fillId="0" borderId="0"/>
    <xf numFmtId="9" fontId="1" fillId="0" borderId="0" applyFont="0" applyFill="0" applyBorder="0" applyAlignment="0" applyProtection="0"/>
    <xf numFmtId="0" fontId="13" fillId="0" borderId="0" applyNumberFormat="0" applyFill="0" applyBorder="0" applyAlignment="0" applyProtection="0"/>
  </cellStyleXfs>
  <cellXfs count="132">
    <xf numFmtId="0" fontId="0" fillId="0" borderId="0" xfId="0"/>
    <xf numFmtId="1" fontId="3" fillId="2" borderId="1" xfId="0" applyNumberFormat="1" applyFont="1" applyFill="1" applyBorder="1" applyAlignment="1">
      <alignment horizontal="center"/>
    </xf>
    <xf numFmtId="0" fontId="3" fillId="2" borderId="1" xfId="0" applyFont="1" applyFill="1" applyBorder="1" applyAlignment="1">
      <alignment horizontal="center"/>
    </xf>
    <xf numFmtId="0" fontId="2" fillId="0" borderId="2" xfId="0" applyFont="1" applyBorder="1" applyAlignment="1">
      <alignment horizontal="center"/>
    </xf>
    <xf numFmtId="2" fontId="2" fillId="0" borderId="2" xfId="0" applyNumberFormat="1" applyFont="1" applyBorder="1" applyAlignment="1">
      <alignment horizontal="center"/>
    </xf>
    <xf numFmtId="10" fontId="2" fillId="0" borderId="2" xfId="1" applyNumberFormat="1" applyFont="1" applyBorder="1" applyAlignment="1">
      <alignment horizontal="center"/>
    </xf>
    <xf numFmtId="1" fontId="4" fillId="3" borderId="0" xfId="0" applyNumberFormat="1" applyFont="1" applyFill="1" applyAlignment="1">
      <alignment horizontal="center"/>
    </xf>
    <xf numFmtId="0" fontId="4" fillId="3" borderId="0" xfId="0" applyFont="1" applyFill="1" applyAlignment="1">
      <alignment horizontal="center"/>
    </xf>
    <xf numFmtId="0" fontId="4" fillId="2" borderId="1" xfId="0" applyFont="1" applyFill="1" applyBorder="1" applyAlignment="1">
      <alignment horizontal="center" vertical="center"/>
    </xf>
    <xf numFmtId="0" fontId="2" fillId="0" borderId="1" xfId="0" applyFont="1" applyBorder="1"/>
    <xf numFmtId="0" fontId="2" fillId="0" borderId="0" xfId="0" applyFont="1"/>
    <xf numFmtId="0" fontId="2" fillId="0" borderId="1" xfId="0" applyFont="1" applyBorder="1" applyAlignment="1">
      <alignment horizontal="center"/>
    </xf>
    <xf numFmtId="0" fontId="2" fillId="0" borderId="3" xfId="0" applyFont="1" applyBorder="1" applyAlignment="1">
      <alignment horizontal="center"/>
    </xf>
    <xf numFmtId="0" fontId="0" fillId="4" borderId="0" xfId="0" applyFill="1"/>
    <xf numFmtId="10" fontId="2" fillId="0" borderId="1" xfId="1" applyNumberFormat="1" applyFont="1" applyBorder="1" applyAlignment="1">
      <alignment horizontal="center"/>
    </xf>
    <xf numFmtId="2" fontId="2" fillId="0" borderId="1" xfId="0" applyNumberFormat="1" applyFont="1" applyBorder="1" applyAlignment="1">
      <alignment horizontal="center"/>
    </xf>
    <xf numFmtId="17" fontId="4" fillId="3" borderId="0" xfId="0" applyNumberFormat="1" applyFont="1" applyFill="1" applyAlignment="1">
      <alignment horizontal="center"/>
    </xf>
    <xf numFmtId="9" fontId="0" fillId="0" borderId="0" xfId="1" applyFont="1"/>
    <xf numFmtId="17" fontId="4" fillId="3" borderId="5" xfId="0" applyNumberFormat="1" applyFont="1" applyFill="1" applyBorder="1" applyAlignment="1">
      <alignment horizontal="center"/>
    </xf>
    <xf numFmtId="0" fontId="2" fillId="0" borderId="0" xfId="0" applyFont="1" applyAlignment="1">
      <alignment horizontal="center"/>
    </xf>
    <xf numFmtId="0" fontId="4" fillId="2" borderId="1" xfId="0" applyFont="1" applyFill="1" applyBorder="1"/>
    <xf numFmtId="0" fontId="4" fillId="2" borderId="1" xfId="0" applyFont="1" applyFill="1" applyBorder="1" applyAlignment="1">
      <alignment horizontal="center"/>
    </xf>
    <xf numFmtId="0" fontId="2" fillId="0" borderId="1" xfId="0" quotePrefix="1" applyFont="1" applyBorder="1" applyAlignment="1">
      <alignment horizontal="center"/>
    </xf>
    <xf numFmtId="1" fontId="4" fillId="2" borderId="1" xfId="0" applyNumberFormat="1" applyFont="1" applyFill="1" applyBorder="1" applyAlignment="1">
      <alignment horizontal="center"/>
    </xf>
    <xf numFmtId="0" fontId="2" fillId="0" borderId="4" xfId="0" applyFont="1" applyBorder="1" applyAlignment="1">
      <alignment horizontal="center"/>
    </xf>
    <xf numFmtId="0" fontId="3" fillId="2" borderId="6" xfId="0" applyFont="1" applyFill="1" applyBorder="1" applyAlignment="1">
      <alignment horizontal="center"/>
    </xf>
    <xf numFmtId="0" fontId="2" fillId="0" borderId="6" xfId="0" applyFont="1" applyBorder="1" applyAlignment="1">
      <alignment horizontal="center"/>
    </xf>
    <xf numFmtId="0" fontId="3" fillId="5" borderId="7" xfId="0" applyFont="1" applyFill="1" applyBorder="1" applyAlignment="1">
      <alignment horizontal="center"/>
    </xf>
    <xf numFmtId="0" fontId="3" fillId="5" borderId="8" xfId="0" applyFont="1" applyFill="1" applyBorder="1" applyAlignment="1">
      <alignment horizontal="center"/>
    </xf>
    <xf numFmtId="0" fontId="2" fillId="0" borderId="8" xfId="0" applyFont="1" applyBorder="1" applyAlignment="1">
      <alignment horizontal="center"/>
    </xf>
    <xf numFmtId="2" fontId="2" fillId="0" borderId="8" xfId="0" applyNumberFormat="1" applyFont="1" applyBorder="1"/>
    <xf numFmtId="0" fontId="2" fillId="0" borderId="8" xfId="0" applyFont="1" applyBorder="1"/>
    <xf numFmtId="0" fontId="3" fillId="6" borderId="9" xfId="0" applyFont="1" applyFill="1" applyBorder="1" applyAlignment="1">
      <alignment horizontal="center"/>
    </xf>
    <xf numFmtId="0" fontId="2" fillId="0" borderId="9" xfId="0" applyFont="1" applyBorder="1" applyAlignment="1">
      <alignment horizontal="center"/>
    </xf>
    <xf numFmtId="2" fontId="2" fillId="0" borderId="9" xfId="0" applyNumberFormat="1" applyFont="1" applyBorder="1"/>
    <xf numFmtId="0" fontId="2" fillId="0" borderId="9" xfId="0" applyFont="1" applyBorder="1"/>
    <xf numFmtId="2" fontId="2" fillId="0" borderId="10" xfId="0" applyNumberFormat="1" applyFont="1" applyBorder="1" applyAlignment="1">
      <alignment horizontal="center"/>
    </xf>
    <xf numFmtId="0" fontId="3" fillId="2" borderId="0" xfId="0" applyFont="1" applyFill="1" applyAlignment="1">
      <alignment horizontal="center"/>
    </xf>
    <xf numFmtId="2" fontId="3" fillId="2" borderId="1" xfId="0" applyNumberFormat="1" applyFont="1" applyFill="1" applyBorder="1" applyAlignment="1">
      <alignment horizontal="center"/>
    </xf>
    <xf numFmtId="10" fontId="2" fillId="0" borderId="2" xfId="0" applyNumberFormat="1" applyFont="1" applyBorder="1" applyAlignment="1">
      <alignment horizontal="center"/>
    </xf>
    <xf numFmtId="2" fontId="3" fillId="6" borderId="9" xfId="0" applyNumberFormat="1" applyFont="1" applyFill="1" applyBorder="1" applyAlignment="1">
      <alignment horizontal="center"/>
    </xf>
    <xf numFmtId="10" fontId="2" fillId="0" borderId="9" xfId="0" applyNumberFormat="1" applyFont="1" applyBorder="1" applyAlignment="1">
      <alignment horizontal="center"/>
    </xf>
    <xf numFmtId="10" fontId="2" fillId="0" borderId="12" xfId="0" applyNumberFormat="1" applyFont="1" applyBorder="1" applyAlignment="1">
      <alignment horizontal="center"/>
    </xf>
    <xf numFmtId="10" fontId="4" fillId="4" borderId="0" xfId="1" applyNumberFormat="1" applyFont="1" applyFill="1" applyBorder="1" applyAlignment="1">
      <alignment horizontal="center" vertical="center"/>
    </xf>
    <xf numFmtId="10" fontId="0" fillId="0" borderId="0" xfId="1" applyNumberFormat="1" applyFont="1"/>
    <xf numFmtId="0" fontId="4" fillId="2" borderId="6" xfId="0" applyFont="1" applyFill="1" applyBorder="1" applyAlignment="1">
      <alignment horizontal="center"/>
    </xf>
    <xf numFmtId="0" fontId="4" fillId="5" borderId="8" xfId="0" applyFont="1" applyFill="1" applyBorder="1" applyAlignment="1">
      <alignment horizontal="center"/>
    </xf>
    <xf numFmtId="0" fontId="4" fillId="6" borderId="9" xfId="0" applyFont="1" applyFill="1" applyBorder="1" applyAlignment="1">
      <alignment horizontal="center"/>
    </xf>
    <xf numFmtId="9" fontId="2" fillId="0" borderId="1" xfId="1" applyFont="1" applyBorder="1" applyAlignment="1">
      <alignment horizontal="center"/>
    </xf>
    <xf numFmtId="0" fontId="6" fillId="0" borderId="0" xfId="0" applyFont="1" applyAlignment="1">
      <alignment horizontal="center"/>
    </xf>
    <xf numFmtId="9" fontId="0" fillId="0" borderId="0" xfId="0" applyNumberFormat="1"/>
    <xf numFmtId="10" fontId="2" fillId="0" borderId="11" xfId="0" applyNumberFormat="1" applyFont="1" applyBorder="1" applyAlignment="1">
      <alignment horizontal="center"/>
    </xf>
    <xf numFmtId="10" fontId="2" fillId="0" borderId="0" xfId="0" applyNumberFormat="1" applyFont="1" applyAlignment="1">
      <alignment horizontal="center"/>
    </xf>
    <xf numFmtId="10" fontId="0" fillId="0" borderId="0" xfId="0" applyNumberFormat="1"/>
    <xf numFmtId="2" fontId="2" fillId="0" borderId="9" xfId="0" applyNumberFormat="1" applyFont="1" applyBorder="1" applyAlignment="1">
      <alignment horizontal="center"/>
    </xf>
    <xf numFmtId="2" fontId="2" fillId="0" borderId="12" xfId="0" applyNumberFormat="1" applyFont="1" applyBorder="1" applyAlignment="1">
      <alignment horizontal="center"/>
    </xf>
    <xf numFmtId="2" fontId="3" fillId="5" borderId="7" xfId="0" applyNumberFormat="1" applyFont="1" applyFill="1" applyBorder="1" applyAlignment="1">
      <alignment horizontal="center"/>
    </xf>
    <xf numFmtId="10" fontId="2" fillId="0" borderId="0" xfId="1" applyNumberFormat="1" applyFont="1" applyBorder="1" applyAlignment="1">
      <alignment horizontal="center"/>
    </xf>
    <xf numFmtId="2" fontId="3" fillId="4" borderId="0" xfId="0" applyNumberFormat="1" applyFont="1" applyFill="1" applyAlignment="1">
      <alignment horizontal="center"/>
    </xf>
    <xf numFmtId="0" fontId="3" fillId="2" borderId="4" xfId="0" applyFont="1" applyFill="1" applyBorder="1" applyAlignment="1">
      <alignment horizontal="center"/>
    </xf>
    <xf numFmtId="2" fontId="3" fillId="2" borderId="4" xfId="0" applyNumberFormat="1" applyFont="1" applyFill="1" applyBorder="1" applyAlignment="1">
      <alignment horizontal="center"/>
    </xf>
    <xf numFmtId="0" fontId="3" fillId="4" borderId="0" xfId="0" applyFont="1" applyFill="1" applyAlignment="1">
      <alignment horizontal="center"/>
    </xf>
    <xf numFmtId="0" fontId="6" fillId="4" borderId="16" xfId="0" applyFont="1" applyFill="1" applyBorder="1" applyAlignment="1">
      <alignment horizontal="center"/>
    </xf>
    <xf numFmtId="0" fontId="7" fillId="0" borderId="0" xfId="0" applyFont="1"/>
    <xf numFmtId="0" fontId="6" fillId="0" borderId="13" xfId="0" applyFont="1" applyBorder="1" applyAlignment="1">
      <alignment horizontal="center" vertical="center"/>
    </xf>
    <xf numFmtId="0" fontId="8" fillId="0" borderId="13" xfId="0" applyFont="1" applyBorder="1" applyAlignment="1">
      <alignment horizontal="center" vertical="center"/>
    </xf>
    <xf numFmtId="0" fontId="4" fillId="2" borderId="13" xfId="0" applyFont="1" applyFill="1" applyBorder="1" applyAlignment="1">
      <alignment horizontal="center" vertical="center"/>
    </xf>
    <xf numFmtId="0" fontId="4" fillId="4" borderId="0" xfId="0" applyFont="1" applyFill="1" applyAlignment="1">
      <alignment horizontal="center" vertical="center"/>
    </xf>
    <xf numFmtId="1" fontId="5" fillId="0" borderId="1" xfId="0" applyNumberFormat="1" applyFont="1" applyBorder="1" applyAlignment="1">
      <alignment horizontal="center" vertical="center"/>
    </xf>
    <xf numFmtId="2" fontId="5" fillId="0" borderId="1" xfId="0" applyNumberFormat="1" applyFont="1" applyBorder="1" applyAlignment="1">
      <alignment horizontal="center" vertical="center"/>
    </xf>
    <xf numFmtId="0" fontId="3" fillId="5" borderId="12" xfId="0" applyFont="1" applyFill="1" applyBorder="1" applyAlignment="1">
      <alignment horizontal="center"/>
    </xf>
    <xf numFmtId="0" fontId="3" fillId="5" borderId="21" xfId="0" applyFont="1" applyFill="1" applyBorder="1" applyAlignment="1">
      <alignment horizontal="center"/>
    </xf>
    <xf numFmtId="10" fontId="2" fillId="0" borderId="8" xfId="0" applyNumberFormat="1" applyFont="1" applyBorder="1" applyAlignment="1">
      <alignment horizontal="center"/>
    </xf>
    <xf numFmtId="10" fontId="2" fillId="0" borderId="8" xfId="1" applyNumberFormat="1" applyFont="1" applyBorder="1" applyAlignment="1">
      <alignment horizontal="center"/>
    </xf>
    <xf numFmtId="10" fontId="2" fillId="0" borderId="9" xfId="1" applyNumberFormat="1" applyFont="1" applyBorder="1" applyAlignment="1">
      <alignment horizontal="center"/>
    </xf>
    <xf numFmtId="0" fontId="5" fillId="4" borderId="0" xfId="0" applyFont="1" applyFill="1" applyAlignment="1">
      <alignment horizontal="center"/>
    </xf>
    <xf numFmtId="9" fontId="2" fillId="0" borderId="2" xfId="1" applyFont="1" applyBorder="1" applyAlignment="1">
      <alignment horizontal="center"/>
    </xf>
    <xf numFmtId="9" fontId="2" fillId="0" borderId="0" xfId="1" applyFont="1" applyBorder="1" applyAlignment="1">
      <alignment horizontal="center"/>
    </xf>
    <xf numFmtId="9" fontId="5" fillId="0" borderId="1" xfId="1" applyFont="1" applyBorder="1" applyAlignment="1">
      <alignment horizontal="center" vertical="center"/>
    </xf>
    <xf numFmtId="1" fontId="5" fillId="0" borderId="1" xfId="0" applyNumberFormat="1" applyFont="1" applyBorder="1" applyAlignment="1">
      <alignment horizontal="left" vertical="center"/>
    </xf>
    <xf numFmtId="2" fontId="5" fillId="0" borderId="1" xfId="0" applyNumberFormat="1" applyFont="1" applyBorder="1" applyAlignment="1">
      <alignment horizontal="right" vertical="center"/>
    </xf>
    <xf numFmtId="0" fontId="4" fillId="2" borderId="0" xfId="0" applyFont="1" applyFill="1" applyAlignment="1">
      <alignment horizontal="center" vertical="center"/>
    </xf>
    <xf numFmtId="10" fontId="2" fillId="0" borderId="1" xfId="1" quotePrefix="1" applyNumberFormat="1" applyFont="1" applyBorder="1" applyAlignment="1">
      <alignment horizontal="center"/>
    </xf>
    <xf numFmtId="0" fontId="4" fillId="2" borderId="4" xfId="0" applyFont="1" applyFill="1" applyBorder="1" applyAlignment="1">
      <alignment horizontal="center"/>
    </xf>
    <xf numFmtId="0" fontId="4" fillId="2" borderId="22" xfId="0" applyFont="1" applyFill="1" applyBorder="1" applyAlignment="1">
      <alignment horizontal="center"/>
    </xf>
    <xf numFmtId="0" fontId="9" fillId="2" borderId="13" xfId="0" applyFont="1" applyFill="1" applyBorder="1" applyAlignment="1">
      <alignment horizontal="center" vertical="center"/>
    </xf>
    <xf numFmtId="1" fontId="10" fillId="0" borderId="1" xfId="0" applyNumberFormat="1" applyFont="1" applyBorder="1" applyAlignment="1">
      <alignment horizontal="center" vertical="center"/>
    </xf>
    <xf numFmtId="2" fontId="10" fillId="0" borderId="1" xfId="0" applyNumberFormat="1" applyFont="1" applyBorder="1" applyAlignment="1">
      <alignment horizontal="left" vertical="center"/>
    </xf>
    <xf numFmtId="0" fontId="11" fillId="0" borderId="0" xfId="0" applyFont="1"/>
    <xf numFmtId="0" fontId="4" fillId="2" borderId="1" xfId="0" applyFont="1" applyFill="1" applyBorder="1" applyAlignment="1">
      <alignment horizontal="left" vertical="center"/>
    </xf>
    <xf numFmtId="0" fontId="12" fillId="0" borderId="0" xfId="0" applyFont="1"/>
    <xf numFmtId="0" fontId="13" fillId="0" borderId="0" xfId="2"/>
    <xf numFmtId="0" fontId="14" fillId="0" borderId="0" xfId="0" applyFont="1"/>
    <xf numFmtId="0" fontId="15" fillId="0" borderId="0" xfId="0" applyFont="1"/>
    <xf numFmtId="0" fontId="4" fillId="2" borderId="0" xfId="0" applyFont="1" applyFill="1" applyAlignment="1">
      <alignment horizontal="center"/>
    </xf>
    <xf numFmtId="9" fontId="2" fillId="0" borderId="1" xfId="1" quotePrefix="1" applyFont="1" applyBorder="1" applyAlignment="1">
      <alignment horizontal="center"/>
    </xf>
    <xf numFmtId="0" fontId="16" fillId="0" borderId="0" xfId="0" applyFont="1" applyAlignment="1">
      <alignment horizontal="center"/>
    </xf>
    <xf numFmtId="1" fontId="3" fillId="5" borderId="8" xfId="0" applyNumberFormat="1" applyFont="1" applyFill="1" applyBorder="1" applyAlignment="1">
      <alignment horizontal="center"/>
    </xf>
    <xf numFmtId="1" fontId="3" fillId="6" borderId="9" xfId="0" applyNumberFormat="1" applyFont="1" applyFill="1" applyBorder="1" applyAlignment="1">
      <alignment horizontal="center"/>
    </xf>
    <xf numFmtId="1" fontId="4" fillId="8" borderId="1" xfId="0" applyNumberFormat="1" applyFont="1" applyFill="1" applyBorder="1" applyAlignment="1">
      <alignment horizontal="center"/>
    </xf>
    <xf numFmtId="2" fontId="2" fillId="0" borderId="1" xfId="0" applyNumberFormat="1" applyFont="1" applyBorder="1" applyAlignment="1">
      <alignment horizontal="left"/>
    </xf>
    <xf numFmtId="2" fontId="17" fillId="0" borderId="1" xfId="0" applyNumberFormat="1" applyFont="1" applyBorder="1" applyAlignment="1">
      <alignment horizontal="center"/>
    </xf>
    <xf numFmtId="2" fontId="17" fillId="0" borderId="1" xfId="0" applyNumberFormat="1" applyFont="1" applyBorder="1" applyAlignment="1">
      <alignment horizontal="left"/>
    </xf>
    <xf numFmtId="2" fontId="5" fillId="0" borderId="1" xfId="0" applyNumberFormat="1" applyFont="1" applyBorder="1" applyAlignment="1">
      <alignment horizontal="left" vertical="center"/>
    </xf>
    <xf numFmtId="0" fontId="4" fillId="8" borderId="13" xfId="0" applyFont="1" applyFill="1" applyBorder="1" applyAlignment="1">
      <alignment horizontal="center" vertical="center"/>
    </xf>
    <xf numFmtId="1" fontId="5" fillId="0" borderId="1" xfId="0" applyNumberFormat="1" applyFont="1" applyBorder="1" applyAlignment="1">
      <alignment horizontal="right" vertical="center"/>
    </xf>
    <xf numFmtId="2" fontId="2" fillId="0" borderId="1" xfId="0" applyNumberFormat="1" applyFont="1" applyBorder="1" applyAlignment="1">
      <alignment horizontal="right"/>
    </xf>
    <xf numFmtId="1" fontId="2" fillId="0" borderId="1" xfId="0" applyNumberFormat="1" applyFont="1" applyBorder="1" applyAlignment="1">
      <alignment horizontal="right"/>
    </xf>
    <xf numFmtId="2" fontId="17" fillId="0" borderId="1" xfId="0" applyNumberFormat="1" applyFont="1" applyBorder="1" applyAlignment="1">
      <alignment horizontal="right"/>
    </xf>
    <xf numFmtId="0" fontId="6" fillId="2" borderId="18" xfId="0" applyFont="1" applyFill="1" applyBorder="1" applyAlignment="1">
      <alignment horizontal="center"/>
    </xf>
    <xf numFmtId="0" fontId="6" fillId="2" borderId="19" xfId="0" applyFont="1" applyFill="1" applyBorder="1" applyAlignment="1">
      <alignment horizontal="center"/>
    </xf>
    <xf numFmtId="0" fontId="6" fillId="2" borderId="18" xfId="0" applyFont="1" applyFill="1" applyBorder="1" applyAlignment="1">
      <alignment horizontal="left" vertical="center"/>
    </xf>
    <xf numFmtId="0" fontId="6" fillId="2" borderId="20" xfId="0" applyFont="1" applyFill="1" applyBorder="1" applyAlignment="1">
      <alignment horizontal="left" vertical="center"/>
    </xf>
    <xf numFmtId="0" fontId="7" fillId="0" borderId="0" xfId="0" applyFont="1" applyAlignment="1">
      <alignment horizontal="left" vertical="top" wrapText="1"/>
    </xf>
    <xf numFmtId="0" fontId="6" fillId="2" borderId="13" xfId="0" applyFont="1" applyFill="1" applyBorder="1" applyAlignment="1">
      <alignment horizontal="center"/>
    </xf>
    <xf numFmtId="0" fontId="4" fillId="2" borderId="1" xfId="0" applyFont="1" applyFill="1" applyBorder="1" applyAlignment="1">
      <alignment horizontal="center"/>
    </xf>
    <xf numFmtId="0" fontId="4" fillId="2" borderId="14" xfId="0" applyFont="1" applyFill="1" applyBorder="1" applyAlignment="1">
      <alignment horizontal="center"/>
    </xf>
    <xf numFmtId="0" fontId="6" fillId="2" borderId="15" xfId="0" applyFont="1" applyFill="1" applyBorder="1" applyAlignment="1">
      <alignment horizontal="center"/>
    </xf>
    <xf numFmtId="0" fontId="6" fillId="2" borderId="16" xfId="0" applyFont="1" applyFill="1" applyBorder="1" applyAlignment="1">
      <alignment horizontal="center"/>
    </xf>
    <xf numFmtId="0" fontId="6" fillId="2" borderId="17" xfId="0" applyFont="1" applyFill="1" applyBorder="1" applyAlignment="1">
      <alignment horizontal="center"/>
    </xf>
    <xf numFmtId="0" fontId="6" fillId="7" borderId="18" xfId="0" applyFont="1" applyFill="1" applyBorder="1" applyAlignment="1">
      <alignment horizontal="center"/>
    </xf>
    <xf numFmtId="0" fontId="6" fillId="7" borderId="20" xfId="0" applyFont="1" applyFill="1" applyBorder="1" applyAlignment="1">
      <alignment horizontal="center"/>
    </xf>
    <xf numFmtId="0" fontId="4" fillId="2" borderId="23" xfId="0" applyFont="1" applyFill="1" applyBorder="1" applyAlignment="1">
      <alignment horizontal="center"/>
    </xf>
    <xf numFmtId="0" fontId="4" fillId="2" borderId="24" xfId="0" applyFont="1" applyFill="1" applyBorder="1" applyAlignment="1">
      <alignment horizontal="center"/>
    </xf>
    <xf numFmtId="0" fontId="6" fillId="2" borderId="1" xfId="0" applyFont="1" applyFill="1" applyBorder="1" applyAlignment="1">
      <alignment horizontal="center"/>
    </xf>
    <xf numFmtId="0" fontId="2" fillId="0" borderId="1" xfId="0" applyFont="1" applyBorder="1" applyAlignment="1">
      <alignment horizontal="center"/>
    </xf>
    <xf numFmtId="0" fontId="6" fillId="2" borderId="1" xfId="0" applyFont="1" applyFill="1" applyBorder="1" applyAlignment="1">
      <alignment horizontal="center" vertical="center"/>
    </xf>
    <xf numFmtId="9" fontId="2" fillId="0" borderId="1" xfId="0" applyNumberFormat="1" applyFont="1" applyBorder="1" applyAlignment="1">
      <alignment horizontal="center"/>
    </xf>
    <xf numFmtId="0" fontId="4" fillId="2" borderId="1" xfId="0" applyFont="1" applyFill="1" applyBorder="1" applyAlignment="1">
      <alignment horizontal="center" vertical="center"/>
    </xf>
    <xf numFmtId="1" fontId="4" fillId="5" borderId="0" xfId="0" applyNumberFormat="1" applyFont="1" applyFill="1" applyAlignment="1">
      <alignment horizontal="center"/>
    </xf>
    <xf numFmtId="165" fontId="0" fillId="0" borderId="0" xfId="1" applyNumberFormat="1" applyFont="1"/>
    <xf numFmtId="165" fontId="4" fillId="3" borderId="0" xfId="1" applyNumberFormat="1" applyFont="1" applyFill="1" applyAlignment="1">
      <alignment horizontal="center"/>
    </xf>
  </cellXfs>
  <cellStyles count="3">
    <cellStyle name="Hyperlink" xfId="2" builtinId="8"/>
    <cellStyle name="Normal" xfId="0" builtinId="0"/>
    <cellStyle name="Percent" xfId="1" builtinId="5"/>
  </cellStyles>
  <dxfs count="1">
    <dxf>
      <font>
        <color rgb="FF9C0006"/>
      </font>
      <fill>
        <patternFill>
          <bgColor rgb="FFFFC7CE"/>
        </patternFill>
      </fill>
    </dxf>
  </dxfs>
  <tableStyles count="0" defaultTableStyle="TableStyleMedium2" defaultPivotStyle="PivotStyleLight16"/>
  <colors>
    <mruColors>
      <color rgb="FF0C769E"/>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eetMetadata" Target="metadata.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drawings/_rels/drawing1.xml.rels><?xml version="1.0" encoding="UTF-8" standalone="yes"?>
<Relationships xmlns="http://schemas.openxmlformats.org/package/2006/relationships"><Relationship Id="rId8" Type="http://schemas.openxmlformats.org/officeDocument/2006/relationships/hyperlink" Target="#Admin!A1"/><Relationship Id="rId3" Type="http://schemas.openxmlformats.org/officeDocument/2006/relationships/hyperlink" Target="#'MEV Data'!A1"/><Relationship Id="rId7" Type="http://schemas.openxmlformats.org/officeDocument/2006/relationships/hyperlink" Target="#'ECL Calculation'!A1"/><Relationship Id="rId2" Type="http://schemas.openxmlformats.org/officeDocument/2006/relationships/hyperlink" Target="#'TTC PD'!A1"/><Relationship Id="rId1" Type="http://schemas.openxmlformats.org/officeDocument/2006/relationships/hyperlink" Target="#'Input Data '!A1"/><Relationship Id="rId6" Type="http://schemas.openxmlformats.org/officeDocument/2006/relationships/hyperlink" Target="#'PIT PD'!A1"/><Relationship Id="rId5" Type="http://schemas.openxmlformats.org/officeDocument/2006/relationships/hyperlink" Target="#'MEV Scenario'!A1"/><Relationship Id="rId4" Type="http://schemas.openxmlformats.org/officeDocument/2006/relationships/hyperlink" Target="#MEV_Index!A1"/></Relationships>
</file>

<file path=xl/drawings/_rels/drawing2.xml.rels><?xml version="1.0" encoding="UTF-8" standalone="yes"?>
<Relationships xmlns="http://schemas.openxmlformats.org/package/2006/relationships"><Relationship Id="rId8" Type="http://schemas.openxmlformats.org/officeDocument/2006/relationships/hyperlink" Target="#'TTC PD'!A1"/><Relationship Id="rId13" Type="http://schemas.openxmlformats.org/officeDocument/2006/relationships/image" Target="../media/image7.png"/><Relationship Id="rId3" Type="http://schemas.openxmlformats.org/officeDocument/2006/relationships/image" Target="../media/image2.svg"/><Relationship Id="rId7" Type="http://schemas.openxmlformats.org/officeDocument/2006/relationships/image" Target="../media/image4.svg"/><Relationship Id="rId12" Type="http://schemas.openxmlformats.org/officeDocument/2006/relationships/hyperlink" Target="#'Marginal PD'!A1"/><Relationship Id="rId2" Type="http://schemas.openxmlformats.org/officeDocument/2006/relationships/image" Target="../media/image1.png"/><Relationship Id="rId1" Type="http://schemas.openxmlformats.org/officeDocument/2006/relationships/hyperlink" Target="#'MEV Data'!A1"/><Relationship Id="rId6" Type="http://schemas.openxmlformats.org/officeDocument/2006/relationships/image" Target="../media/image3.png"/><Relationship Id="rId11" Type="http://schemas.openxmlformats.org/officeDocument/2006/relationships/hyperlink" Target="#'PIT PD'!A1"/><Relationship Id="rId5" Type="http://schemas.openxmlformats.org/officeDocument/2006/relationships/hyperlink" Target="#'Transition Matrix'!A1"/><Relationship Id="rId15" Type="http://schemas.openxmlformats.org/officeDocument/2006/relationships/hyperlink" Target="#'ECL Calculation'!A1"/><Relationship Id="rId10" Type="http://schemas.openxmlformats.org/officeDocument/2006/relationships/image" Target="../media/image6.svg"/><Relationship Id="rId4" Type="http://schemas.openxmlformats.org/officeDocument/2006/relationships/hyperlink" Target="#'Home '!A1"/><Relationship Id="rId9" Type="http://schemas.openxmlformats.org/officeDocument/2006/relationships/image" Target="../media/image5.png"/><Relationship Id="rId14" Type="http://schemas.openxmlformats.org/officeDocument/2006/relationships/image" Target="../media/image8.svg"/></Relationships>
</file>

<file path=xl/drawings/_rels/drawing3.xml.rels><?xml version="1.0" encoding="UTF-8" standalone="yes"?>
<Relationships xmlns="http://schemas.openxmlformats.org/package/2006/relationships"><Relationship Id="rId8" Type="http://schemas.openxmlformats.org/officeDocument/2006/relationships/hyperlink" Target="#'Home '!A1"/><Relationship Id="rId3" Type="http://schemas.openxmlformats.org/officeDocument/2006/relationships/image" Target="../media/image7.png"/><Relationship Id="rId7" Type="http://schemas.openxmlformats.org/officeDocument/2006/relationships/image" Target="../media/image2.svg"/><Relationship Id="rId12" Type="http://schemas.openxmlformats.org/officeDocument/2006/relationships/image" Target="../media/image9.png"/><Relationship Id="rId2" Type="http://schemas.openxmlformats.org/officeDocument/2006/relationships/hyperlink" Target="#'Marginal PD'!A1"/><Relationship Id="rId1" Type="http://schemas.openxmlformats.org/officeDocument/2006/relationships/hyperlink" Target="#'PIT PD'!A1"/><Relationship Id="rId6" Type="http://schemas.openxmlformats.org/officeDocument/2006/relationships/image" Target="../media/image1.png"/><Relationship Id="rId11" Type="http://schemas.openxmlformats.org/officeDocument/2006/relationships/image" Target="../media/image4.svg"/><Relationship Id="rId5" Type="http://schemas.openxmlformats.org/officeDocument/2006/relationships/hyperlink" Target="#'MEV Data'!A1"/><Relationship Id="rId10" Type="http://schemas.openxmlformats.org/officeDocument/2006/relationships/image" Target="../media/image3.png"/><Relationship Id="rId4" Type="http://schemas.openxmlformats.org/officeDocument/2006/relationships/image" Target="../media/image8.svg"/><Relationship Id="rId9" Type="http://schemas.openxmlformats.org/officeDocument/2006/relationships/hyperlink" Target="#'Transition Matrix'!A1"/></Relationships>
</file>

<file path=xl/drawings/_rels/drawing4.xml.rels><?xml version="1.0" encoding="UTF-8" standalone="yes"?>
<Relationships xmlns="http://schemas.openxmlformats.org/package/2006/relationships"><Relationship Id="rId8" Type="http://schemas.openxmlformats.org/officeDocument/2006/relationships/image" Target="../media/image3.png"/><Relationship Id="rId13" Type="http://schemas.openxmlformats.org/officeDocument/2006/relationships/image" Target="../media/image8.svg"/><Relationship Id="rId3" Type="http://schemas.openxmlformats.org/officeDocument/2006/relationships/image" Target="../media/image2.svg"/><Relationship Id="rId7" Type="http://schemas.openxmlformats.org/officeDocument/2006/relationships/hyperlink" Target="#'Transition Matrix'!A1"/><Relationship Id="rId12" Type="http://schemas.openxmlformats.org/officeDocument/2006/relationships/image" Target="../media/image7.png"/><Relationship Id="rId2" Type="http://schemas.openxmlformats.org/officeDocument/2006/relationships/image" Target="../media/image1.png"/><Relationship Id="rId1" Type="http://schemas.openxmlformats.org/officeDocument/2006/relationships/hyperlink" Target="#'MEV Data'!A1"/><Relationship Id="rId6" Type="http://schemas.openxmlformats.org/officeDocument/2006/relationships/hyperlink" Target="#'Home '!A1"/><Relationship Id="rId11" Type="http://schemas.openxmlformats.org/officeDocument/2006/relationships/hyperlink" Target="#'PIT PD'!A1"/><Relationship Id="rId5" Type="http://schemas.openxmlformats.org/officeDocument/2006/relationships/hyperlink" Target="#MEV_Index!A1"/><Relationship Id="rId10" Type="http://schemas.openxmlformats.org/officeDocument/2006/relationships/hyperlink" Target="#'Marginal PD'!A1"/><Relationship Id="rId4" Type="http://schemas.openxmlformats.org/officeDocument/2006/relationships/hyperlink" Target="#'MEV Scenario'!A1"/><Relationship Id="rId9" Type="http://schemas.openxmlformats.org/officeDocument/2006/relationships/image" Target="../media/image4.svg"/><Relationship Id="rId14" Type="http://schemas.openxmlformats.org/officeDocument/2006/relationships/image" Target="../media/image10.png"/></Relationships>
</file>

<file path=xl/drawings/_rels/drawing5.xml.rels><?xml version="1.0" encoding="UTF-8" standalone="yes"?>
<Relationships xmlns="http://schemas.openxmlformats.org/package/2006/relationships"><Relationship Id="rId8" Type="http://schemas.openxmlformats.org/officeDocument/2006/relationships/hyperlink" Target="#'MEV Selection'!A1"/><Relationship Id="rId13" Type="http://schemas.openxmlformats.org/officeDocument/2006/relationships/image" Target="../media/image3.png"/><Relationship Id="rId3" Type="http://schemas.openxmlformats.org/officeDocument/2006/relationships/image" Target="../media/image5.png"/><Relationship Id="rId7" Type="http://schemas.openxmlformats.org/officeDocument/2006/relationships/image" Target="../media/image2.svg"/><Relationship Id="rId12" Type="http://schemas.openxmlformats.org/officeDocument/2006/relationships/hyperlink" Target="#'Transition Matrix'!A1"/><Relationship Id="rId17" Type="http://schemas.openxmlformats.org/officeDocument/2006/relationships/image" Target="../media/image8.svg"/><Relationship Id="rId2" Type="http://schemas.openxmlformats.org/officeDocument/2006/relationships/image" Target="../media/image12.svg"/><Relationship Id="rId16" Type="http://schemas.openxmlformats.org/officeDocument/2006/relationships/image" Target="../media/image7.png"/><Relationship Id="rId1" Type="http://schemas.openxmlformats.org/officeDocument/2006/relationships/image" Target="../media/image11.png"/><Relationship Id="rId6" Type="http://schemas.openxmlformats.org/officeDocument/2006/relationships/image" Target="../media/image1.png"/><Relationship Id="rId11" Type="http://schemas.openxmlformats.org/officeDocument/2006/relationships/hyperlink" Target="#'Home '!A1"/><Relationship Id="rId5" Type="http://schemas.openxmlformats.org/officeDocument/2006/relationships/hyperlink" Target="#'MEV Data'!A1"/><Relationship Id="rId15" Type="http://schemas.openxmlformats.org/officeDocument/2006/relationships/hyperlink" Target="#'Marginal PD'!A1"/><Relationship Id="rId10" Type="http://schemas.openxmlformats.org/officeDocument/2006/relationships/hyperlink" Target="#'MEV Index'!A1"/><Relationship Id="rId4" Type="http://schemas.openxmlformats.org/officeDocument/2006/relationships/image" Target="../media/image6.svg"/><Relationship Id="rId9" Type="http://schemas.openxmlformats.org/officeDocument/2006/relationships/hyperlink" Target="#'MEV Scenario'!A1"/><Relationship Id="rId14" Type="http://schemas.openxmlformats.org/officeDocument/2006/relationships/image" Target="../media/image4.svg"/></Relationships>
</file>

<file path=xl/drawings/_rels/drawing6.xml.rels><?xml version="1.0" encoding="UTF-8" standalone="yes"?>
<Relationships xmlns="http://schemas.openxmlformats.org/package/2006/relationships"><Relationship Id="rId8" Type="http://schemas.openxmlformats.org/officeDocument/2006/relationships/hyperlink" Target="#'MEV Scenario'!A1"/><Relationship Id="rId13" Type="http://schemas.openxmlformats.org/officeDocument/2006/relationships/image" Target="../media/image4.svg"/><Relationship Id="rId3" Type="http://schemas.openxmlformats.org/officeDocument/2006/relationships/image" Target="../media/image7.png"/><Relationship Id="rId7" Type="http://schemas.openxmlformats.org/officeDocument/2006/relationships/image" Target="../media/image2.svg"/><Relationship Id="rId12" Type="http://schemas.openxmlformats.org/officeDocument/2006/relationships/image" Target="../media/image3.png"/><Relationship Id="rId2" Type="http://schemas.openxmlformats.org/officeDocument/2006/relationships/image" Target="../media/image6.svg"/><Relationship Id="rId1" Type="http://schemas.openxmlformats.org/officeDocument/2006/relationships/image" Target="../media/image5.png"/><Relationship Id="rId6" Type="http://schemas.openxmlformats.org/officeDocument/2006/relationships/image" Target="../media/image1.png"/><Relationship Id="rId11" Type="http://schemas.openxmlformats.org/officeDocument/2006/relationships/hyperlink" Target="#'Transition Matrix'!A1"/><Relationship Id="rId5" Type="http://schemas.openxmlformats.org/officeDocument/2006/relationships/hyperlink" Target="#'MEV Data'!A1"/><Relationship Id="rId15" Type="http://schemas.openxmlformats.org/officeDocument/2006/relationships/hyperlink" Target="#'Marginal PD'!A1"/><Relationship Id="rId10" Type="http://schemas.openxmlformats.org/officeDocument/2006/relationships/hyperlink" Target="#'Home '!A1"/><Relationship Id="rId4" Type="http://schemas.openxmlformats.org/officeDocument/2006/relationships/image" Target="../media/image8.svg"/><Relationship Id="rId9" Type="http://schemas.openxmlformats.org/officeDocument/2006/relationships/hyperlink" Target="#MEV_Index!A1"/><Relationship Id="rId14" Type="http://schemas.openxmlformats.org/officeDocument/2006/relationships/hyperlink" Target="#'PIT PD'!A1"/></Relationships>
</file>

<file path=xl/drawings/_rels/drawing7.xml.rels><?xml version="1.0" encoding="UTF-8" standalone="yes"?>
<Relationships xmlns="http://schemas.openxmlformats.org/package/2006/relationships"><Relationship Id="rId8" Type="http://schemas.openxmlformats.org/officeDocument/2006/relationships/image" Target="../media/image3.png"/><Relationship Id="rId3" Type="http://schemas.openxmlformats.org/officeDocument/2006/relationships/hyperlink" Target="#'MEV Data'!A1"/><Relationship Id="rId7" Type="http://schemas.openxmlformats.org/officeDocument/2006/relationships/hyperlink" Target="#'Transition Matrix'!A1"/><Relationship Id="rId12" Type="http://schemas.openxmlformats.org/officeDocument/2006/relationships/hyperlink" Target="#'TTC PD'!A1"/><Relationship Id="rId2" Type="http://schemas.openxmlformats.org/officeDocument/2006/relationships/image" Target="../media/image8.svg"/><Relationship Id="rId1" Type="http://schemas.openxmlformats.org/officeDocument/2006/relationships/image" Target="../media/image7.png"/><Relationship Id="rId6" Type="http://schemas.openxmlformats.org/officeDocument/2006/relationships/hyperlink" Target="#'Home '!A1"/><Relationship Id="rId11" Type="http://schemas.openxmlformats.org/officeDocument/2006/relationships/hyperlink" Target="#'Marginal PD'!A1"/><Relationship Id="rId5" Type="http://schemas.openxmlformats.org/officeDocument/2006/relationships/image" Target="../media/image2.svg"/><Relationship Id="rId10" Type="http://schemas.openxmlformats.org/officeDocument/2006/relationships/hyperlink" Target="#'PIT PD'!A1"/><Relationship Id="rId4" Type="http://schemas.openxmlformats.org/officeDocument/2006/relationships/image" Target="../media/image1.png"/><Relationship Id="rId9" Type="http://schemas.openxmlformats.org/officeDocument/2006/relationships/image" Target="../media/image4.svg"/></Relationships>
</file>

<file path=xl/drawings/_rels/drawing8.xml.rels><?xml version="1.0" encoding="UTF-8" standalone="yes"?>
<Relationships xmlns="http://schemas.openxmlformats.org/package/2006/relationships"><Relationship Id="rId8" Type="http://schemas.openxmlformats.org/officeDocument/2006/relationships/hyperlink" Target="#'PIT PD'!A1"/><Relationship Id="rId13" Type="http://schemas.openxmlformats.org/officeDocument/2006/relationships/hyperlink" Target="#Vasicek!A1"/><Relationship Id="rId18" Type="http://schemas.openxmlformats.org/officeDocument/2006/relationships/image" Target="../media/image4.svg"/><Relationship Id="rId3" Type="http://schemas.openxmlformats.org/officeDocument/2006/relationships/image" Target="../media/image5.png"/><Relationship Id="rId7" Type="http://schemas.openxmlformats.org/officeDocument/2006/relationships/hyperlink" Target="#'TTC PD'!A1"/><Relationship Id="rId12" Type="http://schemas.openxmlformats.org/officeDocument/2006/relationships/image" Target="../media/image2.svg"/><Relationship Id="rId17" Type="http://schemas.openxmlformats.org/officeDocument/2006/relationships/image" Target="../media/image3.png"/><Relationship Id="rId2" Type="http://schemas.openxmlformats.org/officeDocument/2006/relationships/image" Target="../media/image12.svg"/><Relationship Id="rId16" Type="http://schemas.openxmlformats.org/officeDocument/2006/relationships/hyperlink" Target="#'Transition Matrix'!A1"/><Relationship Id="rId1" Type="http://schemas.openxmlformats.org/officeDocument/2006/relationships/image" Target="../media/image11.png"/><Relationship Id="rId6" Type="http://schemas.openxmlformats.org/officeDocument/2006/relationships/image" Target="../media/image8.svg"/><Relationship Id="rId11" Type="http://schemas.openxmlformats.org/officeDocument/2006/relationships/image" Target="../media/image1.png"/><Relationship Id="rId5" Type="http://schemas.openxmlformats.org/officeDocument/2006/relationships/image" Target="../media/image7.png"/><Relationship Id="rId15" Type="http://schemas.openxmlformats.org/officeDocument/2006/relationships/hyperlink" Target="#Home!A1"/><Relationship Id="rId10" Type="http://schemas.openxmlformats.org/officeDocument/2006/relationships/hyperlink" Target="#'MEV Data'!A1"/><Relationship Id="rId4" Type="http://schemas.openxmlformats.org/officeDocument/2006/relationships/image" Target="../media/image6.svg"/><Relationship Id="rId9" Type="http://schemas.openxmlformats.org/officeDocument/2006/relationships/hyperlink" Target="#'Marginal PD'!A1"/><Relationship Id="rId14" Type="http://schemas.openxmlformats.org/officeDocument/2006/relationships/hyperlink" Target="#'Survival Analysis'!A1"/></Relationships>
</file>

<file path=xl/drawings/_rels/drawing9.xml.rels><?xml version="1.0" encoding="UTF-8" standalone="yes"?>
<Relationships xmlns="http://schemas.openxmlformats.org/package/2006/relationships"><Relationship Id="rId8" Type="http://schemas.openxmlformats.org/officeDocument/2006/relationships/image" Target="../media/image1.png"/><Relationship Id="rId13" Type="http://schemas.openxmlformats.org/officeDocument/2006/relationships/hyperlink" Target="#'Transition Matrix'!A1"/><Relationship Id="rId3" Type="http://schemas.openxmlformats.org/officeDocument/2006/relationships/image" Target="../media/image7.png"/><Relationship Id="rId7" Type="http://schemas.openxmlformats.org/officeDocument/2006/relationships/hyperlink" Target="#'MEV Data'!A1"/><Relationship Id="rId12" Type="http://schemas.openxmlformats.org/officeDocument/2006/relationships/hyperlink" Target="#Home!A1"/><Relationship Id="rId2" Type="http://schemas.openxmlformats.org/officeDocument/2006/relationships/image" Target="../media/image6.svg"/><Relationship Id="rId1" Type="http://schemas.openxmlformats.org/officeDocument/2006/relationships/image" Target="../media/image5.png"/><Relationship Id="rId6" Type="http://schemas.openxmlformats.org/officeDocument/2006/relationships/hyperlink" Target="#'Marginal PD'!A1"/><Relationship Id="rId11" Type="http://schemas.openxmlformats.org/officeDocument/2006/relationships/hyperlink" Target="#'Survival Analysis'!A1"/><Relationship Id="rId5" Type="http://schemas.openxmlformats.org/officeDocument/2006/relationships/hyperlink" Target="#'TTC PD'!A1"/><Relationship Id="rId15" Type="http://schemas.openxmlformats.org/officeDocument/2006/relationships/image" Target="../media/image4.svg"/><Relationship Id="rId10" Type="http://schemas.openxmlformats.org/officeDocument/2006/relationships/hyperlink" Target="#Vasicek!A1"/><Relationship Id="rId4" Type="http://schemas.openxmlformats.org/officeDocument/2006/relationships/image" Target="../media/image8.svg"/><Relationship Id="rId9" Type="http://schemas.openxmlformats.org/officeDocument/2006/relationships/image" Target="../media/image2.svg"/><Relationship Id="rId14" Type="http://schemas.openxmlformats.org/officeDocument/2006/relationships/image" Target="../media/image3.png"/></Relationships>
</file>

<file path=xl/drawings/_rels/drawing10.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hyperlink" Target="#'Transition Matrix'!A1"/><Relationship Id="rId1" Type="http://schemas.openxmlformats.org/officeDocument/2006/relationships/hyperlink" Target="#'Home '!A1"/><Relationship Id="rId4" Type="http://schemas.openxmlformats.org/officeDocument/2006/relationships/image" Target="../media/image4.svg"/></Relationships>
</file>

<file path=xl/drawings/drawing1.xml><?xml version="1.0" encoding="utf-8"?>
<xdr:wsDr xmlns:xdr="http://schemas.openxmlformats.org/drawingml/2006/spreadsheetDrawing" xmlns:a="http://schemas.openxmlformats.org/drawingml/2006/main">
  <xdr:twoCellAnchor>
    <xdr:from>
      <xdr:col>3</xdr:col>
      <xdr:colOff>353173</xdr:colOff>
      <xdr:row>2</xdr:row>
      <xdr:rowOff>60788</xdr:rowOff>
    </xdr:from>
    <xdr:to>
      <xdr:col>17</xdr:col>
      <xdr:colOff>38485</xdr:colOff>
      <xdr:row>3</xdr:row>
      <xdr:rowOff>120147</xdr:rowOff>
    </xdr:to>
    <xdr:sp macro="" textlink="">
      <xdr:nvSpPr>
        <xdr:cNvPr id="82" name="Rectangle 1">
          <a:extLst>
            <a:ext uri="{FF2B5EF4-FFF2-40B4-BE49-F238E27FC236}">
              <a16:creationId xmlns:a16="http://schemas.microsoft.com/office/drawing/2014/main" id="{559E5193-D908-49FF-9CDE-CCA75A6E3F5A}"/>
            </a:ext>
          </a:extLst>
        </xdr:cNvPr>
        <xdr:cNvSpPr/>
      </xdr:nvSpPr>
      <xdr:spPr>
        <a:xfrm>
          <a:off x="2171582" y="445636"/>
          <a:ext cx="8171221" cy="251784"/>
        </a:xfrm>
        <a:prstGeom prst="rect">
          <a:avLst/>
        </a:prstGeom>
        <a:solidFill>
          <a:srgbClr val="0C769E"/>
        </a:solidFill>
        <a:ln>
          <a:noFill/>
        </a:ln>
        <a:effectLst>
          <a:outerShdw blurRad="107950" dist="12700" dir="5400000" algn="ctr">
            <a:srgbClr val="000000"/>
          </a:outerShdw>
        </a:effectLst>
        <a:scene3d>
          <a:camera prst="orthographicFront">
            <a:rot lat="0" lon="0" rev="0"/>
          </a:camera>
          <a:lightRig rig="soft" dir="t">
            <a:rot lat="0" lon="0" rev="0"/>
          </a:lightRig>
        </a:scene3d>
        <a:sp3d contourW="44450" prstMaterial="matte">
          <a:bevelT w="63500" h="63500" prst="artDeco"/>
          <a:contourClr>
            <a:srgbClr val="FFFFFF"/>
          </a:contourClr>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100">
              <a:latin typeface="Calibri" panose="020F0502020204030204" pitchFamily="34" charset="0"/>
              <a:ea typeface="Calibri" panose="020F0502020204030204" pitchFamily="34" charset="0"/>
              <a:cs typeface="Calibri" panose="020F0502020204030204" pitchFamily="34" charset="0"/>
            </a:rPr>
            <a:t>Table of Content </a:t>
          </a:r>
        </a:p>
      </xdr:txBody>
    </xdr:sp>
    <xdr:clientData/>
  </xdr:twoCellAnchor>
  <xdr:twoCellAnchor>
    <xdr:from>
      <xdr:col>3</xdr:col>
      <xdr:colOff>351012</xdr:colOff>
      <xdr:row>4</xdr:row>
      <xdr:rowOff>111252</xdr:rowOff>
    </xdr:from>
    <xdr:to>
      <xdr:col>5</xdr:col>
      <xdr:colOff>135041</xdr:colOff>
      <xdr:row>5</xdr:row>
      <xdr:rowOff>170611</xdr:rowOff>
    </xdr:to>
    <xdr:sp macro="" textlink="">
      <xdr:nvSpPr>
        <xdr:cNvPr id="5" name="Rectangle 4">
          <a:extLst>
            <a:ext uri="{FF2B5EF4-FFF2-40B4-BE49-F238E27FC236}">
              <a16:creationId xmlns:a16="http://schemas.microsoft.com/office/drawing/2014/main" id="{48C62518-DF35-4CD9-A2AD-B72007F2852A}"/>
            </a:ext>
          </a:extLst>
        </xdr:cNvPr>
        <xdr:cNvSpPr/>
      </xdr:nvSpPr>
      <xdr:spPr>
        <a:xfrm>
          <a:off x="2169421" y="880949"/>
          <a:ext cx="996302" cy="251783"/>
        </a:xfrm>
        <a:prstGeom prst="rect">
          <a:avLst/>
        </a:prstGeom>
        <a:solidFill>
          <a:srgbClr val="0C769E"/>
        </a:solidFill>
        <a:ln>
          <a:noFill/>
        </a:ln>
        <a:effectLst>
          <a:outerShdw blurRad="107950" dist="12700" dir="5400000" algn="ctr">
            <a:srgbClr val="000000"/>
          </a:outerShdw>
        </a:effectLst>
        <a:scene3d>
          <a:camera prst="orthographicFront">
            <a:rot lat="0" lon="0" rev="0"/>
          </a:camera>
          <a:lightRig rig="soft" dir="t">
            <a:rot lat="0" lon="0" rev="0"/>
          </a:lightRig>
        </a:scene3d>
        <a:sp3d contourW="44450" prstMaterial="matte">
          <a:bevelT w="63500" h="63500" prst="artDeco"/>
          <a:contourClr>
            <a:srgbClr val="FFFFFF"/>
          </a:contourClr>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100">
              <a:latin typeface="Calibri" panose="020F0502020204030204" pitchFamily="34" charset="0"/>
              <a:ea typeface="Calibri" panose="020F0502020204030204" pitchFamily="34" charset="0"/>
              <a:cs typeface="Calibri" panose="020F0502020204030204" pitchFamily="34" charset="0"/>
            </a:rPr>
            <a:t>1.</a:t>
          </a:r>
        </a:p>
      </xdr:txBody>
    </xdr:sp>
    <xdr:clientData/>
  </xdr:twoCellAnchor>
  <xdr:twoCellAnchor>
    <xdr:from>
      <xdr:col>6</xdr:col>
      <xdr:colOff>32512</xdr:colOff>
      <xdr:row>4</xdr:row>
      <xdr:rowOff>113820</xdr:rowOff>
    </xdr:from>
    <xdr:to>
      <xdr:col>15</xdr:col>
      <xdr:colOff>49423</xdr:colOff>
      <xdr:row>5</xdr:row>
      <xdr:rowOff>173179</xdr:rowOff>
    </xdr:to>
    <xdr:sp macro="" textlink="">
      <xdr:nvSpPr>
        <xdr:cNvPr id="6" name="Rectangle 5">
          <a:hlinkClick xmlns:r="http://schemas.openxmlformats.org/officeDocument/2006/relationships" r:id="rId1"/>
          <a:extLst>
            <a:ext uri="{FF2B5EF4-FFF2-40B4-BE49-F238E27FC236}">
              <a16:creationId xmlns:a16="http://schemas.microsoft.com/office/drawing/2014/main" id="{A35F92CB-4EF2-45D7-8A80-5C68641F8175}"/>
            </a:ext>
          </a:extLst>
        </xdr:cNvPr>
        <xdr:cNvSpPr/>
      </xdr:nvSpPr>
      <xdr:spPr>
        <a:xfrm>
          <a:off x="3669330" y="883517"/>
          <a:ext cx="5472138" cy="251783"/>
        </a:xfrm>
        <a:prstGeom prst="rect">
          <a:avLst/>
        </a:prstGeom>
        <a:solidFill>
          <a:srgbClr val="0C769E"/>
        </a:solidFill>
        <a:ln>
          <a:noFill/>
        </a:ln>
        <a:effectLst>
          <a:outerShdw blurRad="107950" dist="12700" dir="5400000" algn="ctr">
            <a:srgbClr val="000000"/>
          </a:outerShdw>
        </a:effectLst>
        <a:scene3d>
          <a:camera prst="orthographicFront">
            <a:rot lat="0" lon="0" rev="0"/>
          </a:camera>
          <a:lightRig rig="soft" dir="t">
            <a:rot lat="0" lon="0" rev="0"/>
          </a:lightRig>
        </a:scene3d>
        <a:sp3d contourW="44450" prstMaterial="matte">
          <a:bevelT w="63500" h="63500" prst="artDeco"/>
          <a:contourClr>
            <a:srgbClr val="FFFFFF"/>
          </a:contourClr>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100">
              <a:latin typeface="Calibri" panose="020F0502020204030204" pitchFamily="34" charset="0"/>
              <a:ea typeface="Calibri" panose="020F0502020204030204" pitchFamily="34" charset="0"/>
              <a:cs typeface="Calibri" panose="020F0502020204030204" pitchFamily="34" charset="0"/>
            </a:rPr>
            <a:t>Input</a:t>
          </a:r>
          <a:r>
            <a:rPr lang="en-IN" sz="1100" baseline="0">
              <a:latin typeface="Calibri" panose="020F0502020204030204" pitchFamily="34" charset="0"/>
              <a:ea typeface="Calibri" panose="020F0502020204030204" pitchFamily="34" charset="0"/>
              <a:cs typeface="Calibri" panose="020F0502020204030204" pitchFamily="34" charset="0"/>
            </a:rPr>
            <a:t> Data</a:t>
          </a:r>
          <a:endParaRPr lang="en-IN" sz="1100">
            <a:latin typeface="Calibri" panose="020F0502020204030204" pitchFamily="34" charset="0"/>
            <a:ea typeface="Calibri" panose="020F0502020204030204" pitchFamily="34" charset="0"/>
            <a:cs typeface="Calibri" panose="020F0502020204030204" pitchFamily="34" charset="0"/>
          </a:endParaRPr>
        </a:p>
      </xdr:txBody>
    </xdr:sp>
    <xdr:clientData/>
  </xdr:twoCellAnchor>
  <xdr:twoCellAnchor>
    <xdr:from>
      <xdr:col>3</xdr:col>
      <xdr:colOff>353581</xdr:colOff>
      <xdr:row>8</xdr:row>
      <xdr:rowOff>89283</xdr:rowOff>
    </xdr:from>
    <xdr:to>
      <xdr:col>5</xdr:col>
      <xdr:colOff>137610</xdr:colOff>
      <xdr:row>9</xdr:row>
      <xdr:rowOff>148642</xdr:rowOff>
    </xdr:to>
    <xdr:sp macro="" textlink="">
      <xdr:nvSpPr>
        <xdr:cNvPr id="25" name="Rectangle 6">
          <a:extLst>
            <a:ext uri="{FF2B5EF4-FFF2-40B4-BE49-F238E27FC236}">
              <a16:creationId xmlns:a16="http://schemas.microsoft.com/office/drawing/2014/main" id="{4CB07043-A582-4C52-B12F-522052268F8A}"/>
            </a:ext>
          </a:extLst>
        </xdr:cNvPr>
        <xdr:cNvSpPr/>
      </xdr:nvSpPr>
      <xdr:spPr>
        <a:xfrm>
          <a:off x="2171990" y="1628677"/>
          <a:ext cx="996302" cy="251783"/>
        </a:xfrm>
        <a:prstGeom prst="rect">
          <a:avLst/>
        </a:prstGeom>
        <a:solidFill>
          <a:srgbClr val="0C769E"/>
        </a:solidFill>
        <a:ln>
          <a:noFill/>
        </a:ln>
        <a:effectLst>
          <a:outerShdw blurRad="107950" dist="12700" dir="5400000" algn="ctr">
            <a:srgbClr val="000000"/>
          </a:outerShdw>
        </a:effectLst>
        <a:scene3d>
          <a:camera prst="orthographicFront">
            <a:rot lat="0" lon="0" rev="0"/>
          </a:camera>
          <a:lightRig rig="soft" dir="t">
            <a:rot lat="0" lon="0" rev="0"/>
          </a:lightRig>
        </a:scene3d>
        <a:sp3d contourW="44450" prstMaterial="matte">
          <a:bevelT w="63500" h="63500" prst="artDeco"/>
          <a:contourClr>
            <a:srgbClr val="FFFFFF"/>
          </a:contourClr>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100">
              <a:latin typeface="Calibri" panose="020F0502020204030204" pitchFamily="34" charset="0"/>
              <a:ea typeface="Calibri" panose="020F0502020204030204" pitchFamily="34" charset="0"/>
              <a:cs typeface="Calibri" panose="020F0502020204030204" pitchFamily="34" charset="0"/>
            </a:rPr>
            <a:t>3.</a:t>
          </a:r>
        </a:p>
      </xdr:txBody>
    </xdr:sp>
    <xdr:clientData/>
  </xdr:twoCellAnchor>
  <xdr:twoCellAnchor>
    <xdr:from>
      <xdr:col>6</xdr:col>
      <xdr:colOff>35081</xdr:colOff>
      <xdr:row>8</xdr:row>
      <xdr:rowOff>91851</xdr:rowOff>
    </xdr:from>
    <xdr:to>
      <xdr:col>15</xdr:col>
      <xdr:colOff>51992</xdr:colOff>
      <xdr:row>9</xdr:row>
      <xdr:rowOff>151210</xdr:rowOff>
    </xdr:to>
    <xdr:sp macro="" textlink="">
      <xdr:nvSpPr>
        <xdr:cNvPr id="8" name="Rectangle 7">
          <a:hlinkClick xmlns:r="http://schemas.openxmlformats.org/officeDocument/2006/relationships" r:id="rId2"/>
          <a:extLst>
            <a:ext uri="{FF2B5EF4-FFF2-40B4-BE49-F238E27FC236}">
              <a16:creationId xmlns:a16="http://schemas.microsoft.com/office/drawing/2014/main" id="{A956AF08-3E37-46F1-81A1-A133E9E944FA}"/>
            </a:ext>
          </a:extLst>
        </xdr:cNvPr>
        <xdr:cNvSpPr/>
      </xdr:nvSpPr>
      <xdr:spPr>
        <a:xfrm>
          <a:off x="3671899" y="1631245"/>
          <a:ext cx="5472138" cy="251783"/>
        </a:xfrm>
        <a:prstGeom prst="rect">
          <a:avLst/>
        </a:prstGeom>
        <a:solidFill>
          <a:srgbClr val="0C769E"/>
        </a:solidFill>
        <a:ln>
          <a:noFill/>
        </a:ln>
        <a:effectLst>
          <a:outerShdw blurRad="107950" dist="12700" dir="5400000" algn="ctr">
            <a:srgbClr val="000000"/>
          </a:outerShdw>
        </a:effectLst>
        <a:scene3d>
          <a:camera prst="orthographicFront">
            <a:rot lat="0" lon="0" rev="0"/>
          </a:camera>
          <a:lightRig rig="soft" dir="t">
            <a:rot lat="0" lon="0" rev="0"/>
          </a:lightRig>
        </a:scene3d>
        <a:sp3d contourW="44450" prstMaterial="matte">
          <a:bevelT w="63500" h="63500" prst="artDeco"/>
          <a:contourClr>
            <a:srgbClr val="FFFFFF"/>
          </a:contourClr>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100">
              <a:latin typeface="Calibri" panose="020F0502020204030204" pitchFamily="34" charset="0"/>
              <a:ea typeface="Calibri" panose="020F0502020204030204" pitchFamily="34" charset="0"/>
              <a:cs typeface="Calibri" panose="020F0502020204030204" pitchFamily="34" charset="0"/>
            </a:rPr>
            <a:t>Through-the</a:t>
          </a:r>
          <a:r>
            <a:rPr lang="en-IN" sz="1100" baseline="0">
              <a:latin typeface="Calibri" panose="020F0502020204030204" pitchFamily="34" charset="0"/>
              <a:ea typeface="Calibri" panose="020F0502020204030204" pitchFamily="34" charset="0"/>
              <a:cs typeface="Calibri" panose="020F0502020204030204" pitchFamily="34" charset="0"/>
            </a:rPr>
            <a:t>-Cycle Probability of Default (</a:t>
          </a:r>
          <a:r>
            <a:rPr lang="en-IN" sz="1100">
              <a:latin typeface="Calibri" panose="020F0502020204030204" pitchFamily="34" charset="0"/>
              <a:ea typeface="Calibri" panose="020F0502020204030204" pitchFamily="34" charset="0"/>
              <a:cs typeface="Calibri" panose="020F0502020204030204" pitchFamily="34" charset="0"/>
            </a:rPr>
            <a:t>TTC</a:t>
          </a:r>
          <a:r>
            <a:rPr lang="en-IN" sz="1100" baseline="0">
              <a:latin typeface="Calibri" panose="020F0502020204030204" pitchFamily="34" charset="0"/>
              <a:ea typeface="Calibri" panose="020F0502020204030204" pitchFamily="34" charset="0"/>
              <a:cs typeface="Calibri" panose="020F0502020204030204" pitchFamily="34" charset="0"/>
            </a:rPr>
            <a:t> PD)</a:t>
          </a:r>
          <a:endParaRPr lang="en-IN" sz="1100">
            <a:latin typeface="Calibri" panose="020F0502020204030204" pitchFamily="34" charset="0"/>
            <a:ea typeface="Calibri" panose="020F0502020204030204" pitchFamily="34" charset="0"/>
            <a:cs typeface="Calibri" panose="020F0502020204030204" pitchFamily="34" charset="0"/>
          </a:endParaRPr>
        </a:p>
      </xdr:txBody>
    </xdr:sp>
    <xdr:clientData/>
  </xdr:twoCellAnchor>
  <xdr:twoCellAnchor>
    <xdr:from>
      <xdr:col>3</xdr:col>
      <xdr:colOff>366852</xdr:colOff>
      <xdr:row>10</xdr:row>
      <xdr:rowOff>102561</xdr:rowOff>
    </xdr:from>
    <xdr:to>
      <xdr:col>5</xdr:col>
      <xdr:colOff>150881</xdr:colOff>
      <xdr:row>11</xdr:row>
      <xdr:rowOff>161919</xdr:rowOff>
    </xdr:to>
    <xdr:sp macro="" textlink="">
      <xdr:nvSpPr>
        <xdr:cNvPr id="27" name="Rectangle 8">
          <a:extLst>
            <a:ext uri="{FF2B5EF4-FFF2-40B4-BE49-F238E27FC236}">
              <a16:creationId xmlns:a16="http://schemas.microsoft.com/office/drawing/2014/main" id="{8144C658-BB8C-4721-B401-E0ABB5008D90}"/>
            </a:ext>
          </a:extLst>
        </xdr:cNvPr>
        <xdr:cNvSpPr/>
      </xdr:nvSpPr>
      <xdr:spPr>
        <a:xfrm>
          <a:off x="2185261" y="2026803"/>
          <a:ext cx="996302" cy="251783"/>
        </a:xfrm>
        <a:prstGeom prst="rect">
          <a:avLst/>
        </a:prstGeom>
        <a:solidFill>
          <a:srgbClr val="0C769E"/>
        </a:solidFill>
        <a:ln>
          <a:noFill/>
        </a:ln>
        <a:effectLst>
          <a:outerShdw blurRad="107950" dist="12700" dir="5400000" algn="ctr">
            <a:srgbClr val="000000"/>
          </a:outerShdw>
        </a:effectLst>
        <a:scene3d>
          <a:camera prst="orthographicFront">
            <a:rot lat="0" lon="0" rev="0"/>
          </a:camera>
          <a:lightRig rig="soft" dir="t">
            <a:rot lat="0" lon="0" rev="0"/>
          </a:lightRig>
        </a:scene3d>
        <a:sp3d contourW="44450" prstMaterial="matte">
          <a:bevelT w="63500" h="63500" prst="artDeco"/>
          <a:contourClr>
            <a:srgbClr val="FFFFFF"/>
          </a:contourClr>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100">
              <a:latin typeface="Calibri" panose="020F0502020204030204" pitchFamily="34" charset="0"/>
              <a:ea typeface="Calibri" panose="020F0502020204030204" pitchFamily="34" charset="0"/>
              <a:cs typeface="Calibri" panose="020F0502020204030204" pitchFamily="34" charset="0"/>
            </a:rPr>
            <a:t>4.</a:t>
          </a:r>
        </a:p>
      </xdr:txBody>
    </xdr:sp>
    <xdr:clientData/>
  </xdr:twoCellAnchor>
  <xdr:twoCellAnchor>
    <xdr:from>
      <xdr:col>6</xdr:col>
      <xdr:colOff>48352</xdr:colOff>
      <xdr:row>10</xdr:row>
      <xdr:rowOff>105129</xdr:rowOff>
    </xdr:from>
    <xdr:to>
      <xdr:col>15</xdr:col>
      <xdr:colOff>65263</xdr:colOff>
      <xdr:row>11</xdr:row>
      <xdr:rowOff>164487</xdr:rowOff>
    </xdr:to>
    <xdr:sp macro="" textlink="">
      <xdr:nvSpPr>
        <xdr:cNvPr id="10" name="Rectangle 9">
          <a:hlinkClick xmlns:r="http://schemas.openxmlformats.org/officeDocument/2006/relationships" r:id="rId3"/>
          <a:extLst>
            <a:ext uri="{FF2B5EF4-FFF2-40B4-BE49-F238E27FC236}">
              <a16:creationId xmlns:a16="http://schemas.microsoft.com/office/drawing/2014/main" id="{F0EF5972-A1FA-42FD-85A5-733277703B07}"/>
            </a:ext>
          </a:extLst>
        </xdr:cNvPr>
        <xdr:cNvSpPr/>
      </xdr:nvSpPr>
      <xdr:spPr>
        <a:xfrm>
          <a:off x="3685170" y="2029371"/>
          <a:ext cx="5472138" cy="251783"/>
        </a:xfrm>
        <a:prstGeom prst="rect">
          <a:avLst/>
        </a:prstGeom>
        <a:solidFill>
          <a:srgbClr val="0C769E"/>
        </a:solidFill>
        <a:ln>
          <a:noFill/>
        </a:ln>
        <a:effectLst>
          <a:outerShdw blurRad="107950" dist="12700" dir="5400000" algn="ctr">
            <a:srgbClr val="000000"/>
          </a:outerShdw>
        </a:effectLst>
        <a:scene3d>
          <a:camera prst="orthographicFront">
            <a:rot lat="0" lon="0" rev="0"/>
          </a:camera>
          <a:lightRig rig="soft" dir="t">
            <a:rot lat="0" lon="0" rev="0"/>
          </a:lightRig>
        </a:scene3d>
        <a:sp3d contourW="44450" prstMaterial="matte">
          <a:bevelT w="63500" h="63500" prst="artDeco"/>
          <a:contourClr>
            <a:srgbClr val="FFFFFF"/>
          </a:contourClr>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100">
              <a:latin typeface="Calibri" panose="020F0502020204030204" pitchFamily="34" charset="0"/>
              <a:ea typeface="Calibri" panose="020F0502020204030204" pitchFamily="34" charset="0"/>
              <a:cs typeface="Calibri" panose="020F0502020204030204" pitchFamily="34" charset="0"/>
            </a:rPr>
            <a:t>Macro Economic Variable Data</a:t>
          </a:r>
          <a:r>
            <a:rPr lang="en-IN" sz="1100" baseline="0">
              <a:latin typeface="Calibri" panose="020F0502020204030204" pitchFamily="34" charset="0"/>
              <a:ea typeface="Calibri" panose="020F0502020204030204" pitchFamily="34" charset="0"/>
              <a:cs typeface="Calibri" panose="020F0502020204030204" pitchFamily="34" charset="0"/>
            </a:rPr>
            <a:t> (</a:t>
          </a:r>
          <a:r>
            <a:rPr lang="en-IN" sz="1100">
              <a:latin typeface="Calibri" panose="020F0502020204030204" pitchFamily="34" charset="0"/>
              <a:ea typeface="Calibri" panose="020F0502020204030204" pitchFamily="34" charset="0"/>
              <a:cs typeface="Calibri" panose="020F0502020204030204" pitchFamily="34" charset="0"/>
            </a:rPr>
            <a:t>MEV</a:t>
          </a:r>
          <a:r>
            <a:rPr lang="en-IN" sz="1100" baseline="0">
              <a:latin typeface="Calibri" panose="020F0502020204030204" pitchFamily="34" charset="0"/>
              <a:ea typeface="Calibri" panose="020F0502020204030204" pitchFamily="34" charset="0"/>
              <a:cs typeface="Calibri" panose="020F0502020204030204" pitchFamily="34" charset="0"/>
            </a:rPr>
            <a:t> Data)</a:t>
          </a:r>
          <a:endParaRPr lang="en-IN" sz="1100">
            <a:latin typeface="Calibri" panose="020F0502020204030204" pitchFamily="34" charset="0"/>
            <a:ea typeface="Calibri" panose="020F0502020204030204" pitchFamily="34" charset="0"/>
            <a:cs typeface="Calibri" panose="020F0502020204030204" pitchFamily="34" charset="0"/>
          </a:endParaRPr>
        </a:p>
      </xdr:txBody>
    </xdr:sp>
    <xdr:clientData/>
  </xdr:twoCellAnchor>
  <xdr:twoCellAnchor>
    <xdr:from>
      <xdr:col>3</xdr:col>
      <xdr:colOff>358718</xdr:colOff>
      <xdr:row>12</xdr:row>
      <xdr:rowOff>105122</xdr:rowOff>
    </xdr:from>
    <xdr:to>
      <xdr:col>5</xdr:col>
      <xdr:colOff>142747</xdr:colOff>
      <xdr:row>13</xdr:row>
      <xdr:rowOff>164481</xdr:rowOff>
    </xdr:to>
    <xdr:sp macro="" textlink="">
      <xdr:nvSpPr>
        <xdr:cNvPr id="29" name="Rectangle 10">
          <a:extLst>
            <a:ext uri="{FF2B5EF4-FFF2-40B4-BE49-F238E27FC236}">
              <a16:creationId xmlns:a16="http://schemas.microsoft.com/office/drawing/2014/main" id="{DB336B39-D886-4D5B-B1B9-9AB13EFF4817}"/>
            </a:ext>
          </a:extLst>
        </xdr:cNvPr>
        <xdr:cNvSpPr/>
      </xdr:nvSpPr>
      <xdr:spPr>
        <a:xfrm>
          <a:off x="2177127" y="2414213"/>
          <a:ext cx="996302" cy="251783"/>
        </a:xfrm>
        <a:prstGeom prst="rect">
          <a:avLst/>
        </a:prstGeom>
        <a:solidFill>
          <a:srgbClr val="0C769E"/>
        </a:solidFill>
        <a:ln>
          <a:noFill/>
        </a:ln>
        <a:effectLst>
          <a:outerShdw blurRad="107950" dist="12700" dir="5400000" algn="ctr">
            <a:srgbClr val="000000"/>
          </a:outerShdw>
        </a:effectLst>
        <a:scene3d>
          <a:camera prst="orthographicFront">
            <a:rot lat="0" lon="0" rev="0"/>
          </a:camera>
          <a:lightRig rig="soft" dir="t">
            <a:rot lat="0" lon="0" rev="0"/>
          </a:lightRig>
        </a:scene3d>
        <a:sp3d contourW="44450" prstMaterial="matte">
          <a:bevelT w="63500" h="63500" prst="artDeco"/>
          <a:contourClr>
            <a:srgbClr val="FFFFFF"/>
          </a:contourClr>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100">
              <a:latin typeface="Calibri" panose="020F0502020204030204" pitchFamily="34" charset="0"/>
              <a:ea typeface="Calibri" panose="020F0502020204030204" pitchFamily="34" charset="0"/>
              <a:cs typeface="Calibri" panose="020F0502020204030204" pitchFamily="34" charset="0"/>
            </a:rPr>
            <a:t>5.</a:t>
          </a:r>
        </a:p>
      </xdr:txBody>
    </xdr:sp>
    <xdr:clientData/>
  </xdr:twoCellAnchor>
  <xdr:twoCellAnchor>
    <xdr:from>
      <xdr:col>6</xdr:col>
      <xdr:colOff>40218</xdr:colOff>
      <xdr:row>12</xdr:row>
      <xdr:rowOff>107690</xdr:rowOff>
    </xdr:from>
    <xdr:to>
      <xdr:col>15</xdr:col>
      <xdr:colOff>57129</xdr:colOff>
      <xdr:row>13</xdr:row>
      <xdr:rowOff>167049</xdr:rowOff>
    </xdr:to>
    <xdr:sp macro="" textlink="">
      <xdr:nvSpPr>
        <xdr:cNvPr id="12" name="Rectangle 11">
          <a:hlinkClick xmlns:r="http://schemas.openxmlformats.org/officeDocument/2006/relationships" r:id="rId4"/>
          <a:extLst>
            <a:ext uri="{FF2B5EF4-FFF2-40B4-BE49-F238E27FC236}">
              <a16:creationId xmlns:a16="http://schemas.microsoft.com/office/drawing/2014/main" id="{ADD67C28-9C19-432D-8795-556C11B15E8D}"/>
            </a:ext>
          </a:extLst>
        </xdr:cNvPr>
        <xdr:cNvSpPr/>
      </xdr:nvSpPr>
      <xdr:spPr>
        <a:xfrm>
          <a:off x="3677036" y="2416781"/>
          <a:ext cx="5472138" cy="251783"/>
        </a:xfrm>
        <a:prstGeom prst="rect">
          <a:avLst/>
        </a:prstGeom>
        <a:solidFill>
          <a:srgbClr val="0C769E"/>
        </a:solidFill>
        <a:ln>
          <a:noFill/>
        </a:ln>
        <a:effectLst>
          <a:outerShdw blurRad="107950" dist="12700" dir="5400000" algn="ctr">
            <a:srgbClr val="000000"/>
          </a:outerShdw>
        </a:effectLst>
        <a:scene3d>
          <a:camera prst="orthographicFront">
            <a:rot lat="0" lon="0" rev="0"/>
          </a:camera>
          <a:lightRig rig="soft" dir="t">
            <a:rot lat="0" lon="0" rev="0"/>
          </a:lightRig>
        </a:scene3d>
        <a:sp3d contourW="44450" prstMaterial="matte">
          <a:bevelT w="63500" h="63500" prst="artDeco"/>
          <a:contourClr>
            <a:srgbClr val="FFFFFF"/>
          </a:contourClr>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100">
              <a:latin typeface="Calibri" panose="020F0502020204030204" pitchFamily="34" charset="0"/>
              <a:ea typeface="Calibri" panose="020F0502020204030204" pitchFamily="34" charset="0"/>
              <a:cs typeface="Calibri" panose="020F0502020204030204" pitchFamily="34" charset="0"/>
            </a:rPr>
            <a:t>Macro</a:t>
          </a:r>
          <a:r>
            <a:rPr lang="en-IN" sz="1100" baseline="0">
              <a:latin typeface="Calibri" panose="020F0502020204030204" pitchFamily="34" charset="0"/>
              <a:ea typeface="Calibri" panose="020F0502020204030204" pitchFamily="34" charset="0"/>
              <a:cs typeface="Calibri" panose="020F0502020204030204" pitchFamily="34" charset="0"/>
            </a:rPr>
            <a:t> Economic Variable Index (</a:t>
          </a:r>
          <a:r>
            <a:rPr lang="en-IN" sz="1100">
              <a:latin typeface="Calibri" panose="020F0502020204030204" pitchFamily="34" charset="0"/>
              <a:ea typeface="Calibri" panose="020F0502020204030204" pitchFamily="34" charset="0"/>
              <a:cs typeface="Calibri" panose="020F0502020204030204" pitchFamily="34" charset="0"/>
            </a:rPr>
            <a:t>MEV</a:t>
          </a:r>
          <a:r>
            <a:rPr lang="en-IN" sz="1100" baseline="0">
              <a:latin typeface="Calibri" panose="020F0502020204030204" pitchFamily="34" charset="0"/>
              <a:ea typeface="Calibri" panose="020F0502020204030204" pitchFamily="34" charset="0"/>
              <a:cs typeface="Calibri" panose="020F0502020204030204" pitchFamily="34" charset="0"/>
            </a:rPr>
            <a:t> Index)</a:t>
          </a:r>
          <a:endParaRPr lang="en-IN" sz="1100">
            <a:latin typeface="Calibri" panose="020F0502020204030204" pitchFamily="34" charset="0"/>
            <a:ea typeface="Calibri" panose="020F0502020204030204" pitchFamily="34" charset="0"/>
            <a:cs typeface="Calibri" panose="020F0502020204030204" pitchFamily="34" charset="0"/>
          </a:endParaRPr>
        </a:p>
      </xdr:txBody>
    </xdr:sp>
    <xdr:clientData/>
  </xdr:twoCellAnchor>
  <xdr:twoCellAnchor>
    <xdr:from>
      <xdr:col>3</xdr:col>
      <xdr:colOff>350584</xdr:colOff>
      <xdr:row>14</xdr:row>
      <xdr:rowOff>171912</xdr:rowOff>
    </xdr:from>
    <xdr:to>
      <xdr:col>5</xdr:col>
      <xdr:colOff>134613</xdr:colOff>
      <xdr:row>16</xdr:row>
      <xdr:rowOff>38631</xdr:rowOff>
    </xdr:to>
    <xdr:sp macro="" textlink="">
      <xdr:nvSpPr>
        <xdr:cNvPr id="31" name="Rectangle 12">
          <a:extLst>
            <a:ext uri="{FF2B5EF4-FFF2-40B4-BE49-F238E27FC236}">
              <a16:creationId xmlns:a16="http://schemas.microsoft.com/office/drawing/2014/main" id="{D8C5954E-20A8-4D01-87C9-755CAA4CA6D0}"/>
            </a:ext>
          </a:extLst>
        </xdr:cNvPr>
        <xdr:cNvSpPr/>
      </xdr:nvSpPr>
      <xdr:spPr>
        <a:xfrm>
          <a:off x="2168993" y="2865851"/>
          <a:ext cx="996302" cy="251568"/>
        </a:xfrm>
        <a:prstGeom prst="rect">
          <a:avLst/>
        </a:prstGeom>
        <a:solidFill>
          <a:srgbClr val="0C769E"/>
        </a:solidFill>
        <a:ln>
          <a:noFill/>
        </a:ln>
        <a:effectLst>
          <a:outerShdw blurRad="107950" dist="12700" dir="5400000" algn="ctr">
            <a:srgbClr val="000000"/>
          </a:outerShdw>
        </a:effectLst>
        <a:scene3d>
          <a:camera prst="orthographicFront">
            <a:rot lat="0" lon="0" rev="0"/>
          </a:camera>
          <a:lightRig rig="soft" dir="t">
            <a:rot lat="0" lon="0" rev="0"/>
          </a:lightRig>
        </a:scene3d>
        <a:sp3d contourW="44450" prstMaterial="matte">
          <a:bevelT w="63500" h="63500" prst="artDeco"/>
          <a:contourClr>
            <a:srgbClr val="FFFFFF"/>
          </a:contourClr>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100">
              <a:latin typeface="Calibri" panose="020F0502020204030204" pitchFamily="34" charset="0"/>
              <a:ea typeface="Calibri" panose="020F0502020204030204" pitchFamily="34" charset="0"/>
              <a:cs typeface="Calibri" panose="020F0502020204030204" pitchFamily="34" charset="0"/>
            </a:rPr>
            <a:t>6.</a:t>
          </a:r>
        </a:p>
      </xdr:txBody>
    </xdr:sp>
    <xdr:clientData/>
  </xdr:twoCellAnchor>
  <xdr:twoCellAnchor>
    <xdr:from>
      <xdr:col>6</xdr:col>
      <xdr:colOff>38498</xdr:colOff>
      <xdr:row>14</xdr:row>
      <xdr:rowOff>174480</xdr:rowOff>
    </xdr:from>
    <xdr:to>
      <xdr:col>15</xdr:col>
      <xdr:colOff>55409</xdr:colOff>
      <xdr:row>16</xdr:row>
      <xdr:rowOff>41199</xdr:rowOff>
    </xdr:to>
    <xdr:sp macro="" textlink="">
      <xdr:nvSpPr>
        <xdr:cNvPr id="14" name="Rectangle 13">
          <a:hlinkClick xmlns:r="http://schemas.openxmlformats.org/officeDocument/2006/relationships" r:id="rId5"/>
          <a:extLst>
            <a:ext uri="{FF2B5EF4-FFF2-40B4-BE49-F238E27FC236}">
              <a16:creationId xmlns:a16="http://schemas.microsoft.com/office/drawing/2014/main" id="{898AB1D2-22B8-447D-B5C6-EF5A20463F82}"/>
            </a:ext>
          </a:extLst>
        </xdr:cNvPr>
        <xdr:cNvSpPr/>
      </xdr:nvSpPr>
      <xdr:spPr>
        <a:xfrm>
          <a:off x="3694559" y="2778621"/>
          <a:ext cx="5501002" cy="238740"/>
        </a:xfrm>
        <a:prstGeom prst="rect">
          <a:avLst/>
        </a:prstGeom>
        <a:solidFill>
          <a:srgbClr val="0C769E"/>
        </a:solidFill>
        <a:ln>
          <a:noFill/>
        </a:ln>
        <a:effectLst>
          <a:outerShdw blurRad="107950" dist="12700" dir="5400000" algn="ctr">
            <a:srgbClr val="000000"/>
          </a:outerShdw>
        </a:effectLst>
        <a:scene3d>
          <a:camera prst="orthographicFront">
            <a:rot lat="0" lon="0" rev="0"/>
          </a:camera>
          <a:lightRig rig="soft" dir="t">
            <a:rot lat="0" lon="0" rev="0"/>
          </a:lightRig>
        </a:scene3d>
        <a:sp3d contourW="44450" prstMaterial="matte">
          <a:bevelT w="63500" h="63500" prst="artDeco"/>
          <a:contourClr>
            <a:srgbClr val="FFFFFF"/>
          </a:contourClr>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100">
              <a:latin typeface="Calibri" panose="020F0502020204030204" pitchFamily="34" charset="0"/>
              <a:ea typeface="Calibri" panose="020F0502020204030204" pitchFamily="34" charset="0"/>
              <a:cs typeface="Calibri" panose="020F0502020204030204" pitchFamily="34" charset="0"/>
            </a:rPr>
            <a:t>Macro Economic</a:t>
          </a:r>
          <a:r>
            <a:rPr lang="en-IN" sz="1100" baseline="0">
              <a:latin typeface="Calibri" panose="020F0502020204030204" pitchFamily="34" charset="0"/>
              <a:ea typeface="Calibri" panose="020F0502020204030204" pitchFamily="34" charset="0"/>
              <a:cs typeface="Calibri" panose="020F0502020204030204" pitchFamily="34" charset="0"/>
            </a:rPr>
            <a:t> Variable Scenario (</a:t>
          </a:r>
          <a:r>
            <a:rPr lang="en-IN" sz="1100">
              <a:latin typeface="Calibri" panose="020F0502020204030204" pitchFamily="34" charset="0"/>
              <a:ea typeface="Calibri" panose="020F0502020204030204" pitchFamily="34" charset="0"/>
              <a:cs typeface="Calibri" panose="020F0502020204030204" pitchFamily="34" charset="0"/>
            </a:rPr>
            <a:t>MEV</a:t>
          </a:r>
          <a:r>
            <a:rPr lang="en-IN" sz="1100" baseline="0">
              <a:latin typeface="Calibri" panose="020F0502020204030204" pitchFamily="34" charset="0"/>
              <a:ea typeface="Calibri" panose="020F0502020204030204" pitchFamily="34" charset="0"/>
              <a:cs typeface="Calibri" panose="020F0502020204030204" pitchFamily="34" charset="0"/>
            </a:rPr>
            <a:t> Scenario)</a:t>
          </a:r>
          <a:endParaRPr lang="en-IN" sz="1100">
            <a:latin typeface="Calibri" panose="020F0502020204030204" pitchFamily="34" charset="0"/>
            <a:ea typeface="Calibri" panose="020F0502020204030204" pitchFamily="34" charset="0"/>
            <a:cs typeface="Calibri" panose="020F0502020204030204" pitchFamily="34" charset="0"/>
          </a:endParaRPr>
        </a:p>
      </xdr:txBody>
    </xdr:sp>
    <xdr:clientData/>
  </xdr:twoCellAnchor>
  <xdr:twoCellAnchor>
    <xdr:from>
      <xdr:col>3</xdr:col>
      <xdr:colOff>353153</xdr:colOff>
      <xdr:row>17</xdr:row>
      <xdr:rowOff>35352</xdr:rowOff>
    </xdr:from>
    <xdr:to>
      <xdr:col>5</xdr:col>
      <xdr:colOff>137182</xdr:colOff>
      <xdr:row>18</xdr:row>
      <xdr:rowOff>94711</xdr:rowOff>
    </xdr:to>
    <xdr:sp macro="" textlink="">
      <xdr:nvSpPr>
        <xdr:cNvPr id="33" name="Rectangle 14">
          <a:extLst>
            <a:ext uri="{FF2B5EF4-FFF2-40B4-BE49-F238E27FC236}">
              <a16:creationId xmlns:a16="http://schemas.microsoft.com/office/drawing/2014/main" id="{46A3ADA4-F824-46F0-B507-D705325BF5C9}"/>
            </a:ext>
          </a:extLst>
        </xdr:cNvPr>
        <xdr:cNvSpPr/>
      </xdr:nvSpPr>
      <xdr:spPr>
        <a:xfrm>
          <a:off x="2171562" y="3306564"/>
          <a:ext cx="996302" cy="251783"/>
        </a:xfrm>
        <a:prstGeom prst="rect">
          <a:avLst/>
        </a:prstGeom>
        <a:solidFill>
          <a:srgbClr val="0C769E"/>
        </a:solidFill>
        <a:ln>
          <a:noFill/>
        </a:ln>
        <a:effectLst>
          <a:outerShdw blurRad="107950" dist="12700" dir="5400000" algn="ctr">
            <a:srgbClr val="000000"/>
          </a:outerShdw>
        </a:effectLst>
        <a:scene3d>
          <a:camera prst="orthographicFront">
            <a:rot lat="0" lon="0" rev="0"/>
          </a:camera>
          <a:lightRig rig="soft" dir="t">
            <a:rot lat="0" lon="0" rev="0"/>
          </a:lightRig>
        </a:scene3d>
        <a:sp3d contourW="44450" prstMaterial="matte">
          <a:bevelT w="63500" h="63500" prst="artDeco"/>
          <a:contourClr>
            <a:srgbClr val="FFFFFF"/>
          </a:contourClr>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100">
              <a:latin typeface="Calibri" panose="020F0502020204030204" pitchFamily="34" charset="0"/>
              <a:ea typeface="Calibri" panose="020F0502020204030204" pitchFamily="34" charset="0"/>
              <a:cs typeface="Calibri" panose="020F0502020204030204" pitchFamily="34" charset="0"/>
            </a:rPr>
            <a:t>7.</a:t>
          </a:r>
        </a:p>
      </xdr:txBody>
    </xdr:sp>
    <xdr:clientData/>
  </xdr:twoCellAnchor>
  <xdr:twoCellAnchor>
    <xdr:from>
      <xdr:col>6</xdr:col>
      <xdr:colOff>34653</xdr:colOff>
      <xdr:row>17</xdr:row>
      <xdr:rowOff>37920</xdr:rowOff>
    </xdr:from>
    <xdr:to>
      <xdr:col>15</xdr:col>
      <xdr:colOff>51564</xdr:colOff>
      <xdr:row>18</xdr:row>
      <xdr:rowOff>97279</xdr:rowOff>
    </xdr:to>
    <xdr:sp macro="" textlink="">
      <xdr:nvSpPr>
        <xdr:cNvPr id="16" name="Rectangle 15">
          <a:hlinkClick xmlns:r="http://schemas.openxmlformats.org/officeDocument/2006/relationships" r:id="rId6"/>
          <a:extLst>
            <a:ext uri="{FF2B5EF4-FFF2-40B4-BE49-F238E27FC236}">
              <a16:creationId xmlns:a16="http://schemas.microsoft.com/office/drawing/2014/main" id="{852519DE-2CCC-408F-B72D-272B332C81E3}"/>
            </a:ext>
          </a:extLst>
        </xdr:cNvPr>
        <xdr:cNvSpPr/>
      </xdr:nvSpPr>
      <xdr:spPr>
        <a:xfrm>
          <a:off x="3671471" y="3309132"/>
          <a:ext cx="5472138" cy="251783"/>
        </a:xfrm>
        <a:prstGeom prst="rect">
          <a:avLst/>
        </a:prstGeom>
        <a:solidFill>
          <a:srgbClr val="0C769E"/>
        </a:solidFill>
        <a:ln>
          <a:noFill/>
        </a:ln>
        <a:effectLst>
          <a:outerShdw blurRad="107950" dist="12700" dir="5400000" algn="ctr">
            <a:srgbClr val="000000"/>
          </a:outerShdw>
        </a:effectLst>
        <a:scene3d>
          <a:camera prst="orthographicFront">
            <a:rot lat="0" lon="0" rev="0"/>
          </a:camera>
          <a:lightRig rig="soft" dir="t">
            <a:rot lat="0" lon="0" rev="0"/>
          </a:lightRig>
        </a:scene3d>
        <a:sp3d contourW="44450" prstMaterial="matte">
          <a:bevelT w="63500" h="63500" prst="artDeco"/>
          <a:contourClr>
            <a:srgbClr val="FFFFFF"/>
          </a:contourClr>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100">
              <a:solidFill>
                <a:schemeClr val="lt1"/>
              </a:solidFill>
              <a:effectLst/>
              <a:latin typeface="+mn-lt"/>
              <a:ea typeface="+mn-ea"/>
              <a:cs typeface="+mn-cs"/>
            </a:rPr>
            <a:t>Point-In-Time Probability of Default</a:t>
          </a:r>
          <a:r>
            <a:rPr lang="en-IN" sz="1100" baseline="0">
              <a:solidFill>
                <a:schemeClr val="lt1"/>
              </a:solidFill>
              <a:effectLst/>
              <a:latin typeface="+mn-lt"/>
              <a:ea typeface="+mn-ea"/>
              <a:cs typeface="+mn-cs"/>
            </a:rPr>
            <a:t> </a:t>
          </a:r>
          <a:r>
            <a:rPr lang="en-IN" sz="1100">
              <a:solidFill>
                <a:schemeClr val="lt1"/>
              </a:solidFill>
              <a:effectLst/>
              <a:latin typeface="+mn-lt"/>
              <a:ea typeface="+mn-ea"/>
              <a:cs typeface="+mn-cs"/>
            </a:rPr>
            <a:t>(PIT</a:t>
          </a:r>
          <a:r>
            <a:rPr lang="en-IN" sz="1100" baseline="0">
              <a:solidFill>
                <a:schemeClr val="lt1"/>
              </a:solidFill>
              <a:effectLst/>
              <a:latin typeface="+mn-lt"/>
              <a:ea typeface="+mn-ea"/>
              <a:cs typeface="+mn-cs"/>
            </a:rPr>
            <a:t> PD)</a:t>
          </a:r>
          <a:endParaRPr lang="en-IN" sz="1100">
            <a:latin typeface="Calibri" panose="020F0502020204030204" pitchFamily="34" charset="0"/>
            <a:ea typeface="Calibri" panose="020F0502020204030204" pitchFamily="34" charset="0"/>
            <a:cs typeface="Calibri" panose="020F0502020204030204" pitchFamily="34" charset="0"/>
          </a:endParaRPr>
        </a:p>
      </xdr:txBody>
    </xdr:sp>
    <xdr:clientData/>
  </xdr:twoCellAnchor>
  <xdr:twoCellAnchor>
    <xdr:from>
      <xdr:col>3</xdr:col>
      <xdr:colOff>361714</xdr:colOff>
      <xdr:row>19</xdr:row>
      <xdr:rowOff>54613</xdr:rowOff>
    </xdr:from>
    <xdr:to>
      <xdr:col>5</xdr:col>
      <xdr:colOff>145743</xdr:colOff>
      <xdr:row>20</xdr:row>
      <xdr:rowOff>113973</xdr:rowOff>
    </xdr:to>
    <xdr:sp macro="" textlink="">
      <xdr:nvSpPr>
        <xdr:cNvPr id="35" name="Rectangle 16">
          <a:extLst>
            <a:ext uri="{FF2B5EF4-FFF2-40B4-BE49-F238E27FC236}">
              <a16:creationId xmlns:a16="http://schemas.microsoft.com/office/drawing/2014/main" id="{78F88096-6E65-4E80-8317-2F56132B1038}"/>
            </a:ext>
          </a:extLst>
        </xdr:cNvPr>
        <xdr:cNvSpPr/>
      </xdr:nvSpPr>
      <xdr:spPr>
        <a:xfrm>
          <a:off x="2180123" y="3710674"/>
          <a:ext cx="996302" cy="251784"/>
        </a:xfrm>
        <a:prstGeom prst="rect">
          <a:avLst/>
        </a:prstGeom>
        <a:solidFill>
          <a:srgbClr val="0C769E"/>
        </a:solidFill>
        <a:ln>
          <a:noFill/>
        </a:ln>
        <a:effectLst>
          <a:outerShdw blurRad="107950" dist="12700" dir="5400000" algn="ctr">
            <a:srgbClr val="000000"/>
          </a:outerShdw>
        </a:effectLst>
        <a:scene3d>
          <a:camera prst="orthographicFront">
            <a:rot lat="0" lon="0" rev="0"/>
          </a:camera>
          <a:lightRig rig="soft" dir="t">
            <a:rot lat="0" lon="0" rev="0"/>
          </a:lightRig>
        </a:scene3d>
        <a:sp3d contourW="44450" prstMaterial="matte">
          <a:bevelT w="63500" h="63500" prst="artDeco"/>
          <a:contourClr>
            <a:srgbClr val="FFFFFF"/>
          </a:contourClr>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100">
              <a:latin typeface="Calibri" panose="020F0502020204030204" pitchFamily="34" charset="0"/>
              <a:ea typeface="Calibri" panose="020F0502020204030204" pitchFamily="34" charset="0"/>
              <a:cs typeface="Calibri" panose="020F0502020204030204" pitchFamily="34" charset="0"/>
            </a:rPr>
            <a:t>8.</a:t>
          </a:r>
        </a:p>
      </xdr:txBody>
    </xdr:sp>
    <xdr:clientData/>
  </xdr:twoCellAnchor>
  <xdr:twoCellAnchor>
    <xdr:from>
      <xdr:col>6</xdr:col>
      <xdr:colOff>45783</xdr:colOff>
      <xdr:row>19</xdr:row>
      <xdr:rowOff>71538</xdr:rowOff>
    </xdr:from>
    <xdr:to>
      <xdr:col>15</xdr:col>
      <xdr:colOff>62694</xdr:colOff>
      <xdr:row>20</xdr:row>
      <xdr:rowOff>130897</xdr:rowOff>
    </xdr:to>
    <xdr:sp macro="" textlink="">
      <xdr:nvSpPr>
        <xdr:cNvPr id="20" name="Rectangle 19">
          <a:hlinkClick xmlns:r="http://schemas.openxmlformats.org/officeDocument/2006/relationships" r:id="rId7"/>
          <a:extLst>
            <a:ext uri="{FF2B5EF4-FFF2-40B4-BE49-F238E27FC236}">
              <a16:creationId xmlns:a16="http://schemas.microsoft.com/office/drawing/2014/main" id="{A27DB62E-0F4E-4DF8-B1D2-C038682D2A6D}"/>
            </a:ext>
          </a:extLst>
        </xdr:cNvPr>
        <xdr:cNvSpPr/>
      </xdr:nvSpPr>
      <xdr:spPr>
        <a:xfrm>
          <a:off x="3682601" y="3727599"/>
          <a:ext cx="5472138" cy="251783"/>
        </a:xfrm>
        <a:prstGeom prst="rect">
          <a:avLst/>
        </a:prstGeom>
        <a:solidFill>
          <a:srgbClr val="0C769E"/>
        </a:solidFill>
        <a:ln>
          <a:noFill/>
        </a:ln>
        <a:effectLst>
          <a:outerShdw blurRad="107950" dist="12700" dir="5400000" algn="ctr">
            <a:srgbClr val="000000"/>
          </a:outerShdw>
        </a:effectLst>
        <a:scene3d>
          <a:camera prst="orthographicFront">
            <a:rot lat="0" lon="0" rev="0"/>
          </a:camera>
          <a:lightRig rig="soft" dir="t">
            <a:rot lat="0" lon="0" rev="0"/>
          </a:lightRig>
        </a:scene3d>
        <a:sp3d contourW="44450" prstMaterial="matte">
          <a:bevelT w="63500" h="63500" prst="artDeco"/>
          <a:contourClr>
            <a:srgbClr val="FFFFFF"/>
          </a:contourClr>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100">
              <a:latin typeface="Calibri" panose="020F0502020204030204" pitchFamily="34" charset="0"/>
              <a:ea typeface="Calibri" panose="020F0502020204030204" pitchFamily="34" charset="0"/>
              <a:cs typeface="Calibri" panose="020F0502020204030204" pitchFamily="34" charset="0"/>
            </a:rPr>
            <a:t>ECL Calculation</a:t>
          </a:r>
        </a:p>
      </xdr:txBody>
    </xdr:sp>
    <xdr:clientData/>
  </xdr:twoCellAnchor>
  <xdr:twoCellAnchor>
    <xdr:from>
      <xdr:col>3</xdr:col>
      <xdr:colOff>346356</xdr:colOff>
      <xdr:row>6</xdr:row>
      <xdr:rowOff>86589</xdr:rowOff>
    </xdr:from>
    <xdr:to>
      <xdr:col>5</xdr:col>
      <xdr:colOff>130385</xdr:colOff>
      <xdr:row>7</xdr:row>
      <xdr:rowOff>145948</xdr:rowOff>
    </xdr:to>
    <xdr:sp macro="" textlink="">
      <xdr:nvSpPr>
        <xdr:cNvPr id="83" name="Rectangle 17">
          <a:extLst>
            <a:ext uri="{FF2B5EF4-FFF2-40B4-BE49-F238E27FC236}">
              <a16:creationId xmlns:a16="http://schemas.microsoft.com/office/drawing/2014/main" id="{88B3B927-DE39-4458-8502-90AAA067E775}"/>
            </a:ext>
          </a:extLst>
        </xdr:cNvPr>
        <xdr:cNvSpPr/>
      </xdr:nvSpPr>
      <xdr:spPr>
        <a:xfrm>
          <a:off x="2164765" y="1241134"/>
          <a:ext cx="996302" cy="251784"/>
        </a:xfrm>
        <a:prstGeom prst="rect">
          <a:avLst/>
        </a:prstGeom>
        <a:solidFill>
          <a:srgbClr val="0C769E"/>
        </a:solidFill>
        <a:ln>
          <a:noFill/>
        </a:ln>
        <a:effectLst>
          <a:outerShdw blurRad="107950" dist="12700" dir="5400000" algn="ctr">
            <a:srgbClr val="000000"/>
          </a:outerShdw>
        </a:effectLst>
        <a:scene3d>
          <a:camera prst="orthographicFront">
            <a:rot lat="0" lon="0" rev="0"/>
          </a:camera>
          <a:lightRig rig="soft" dir="t">
            <a:rot lat="0" lon="0" rev="0"/>
          </a:lightRig>
        </a:scene3d>
        <a:sp3d contourW="44450" prstMaterial="matte">
          <a:bevelT w="63500" h="63500" prst="artDeco"/>
          <a:contourClr>
            <a:srgbClr val="FFFFFF"/>
          </a:contourClr>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100">
              <a:latin typeface="Calibri" panose="020F0502020204030204" pitchFamily="34" charset="0"/>
              <a:ea typeface="Calibri" panose="020F0502020204030204" pitchFamily="34" charset="0"/>
              <a:cs typeface="Calibri" panose="020F0502020204030204" pitchFamily="34" charset="0"/>
            </a:rPr>
            <a:t>2.</a:t>
          </a:r>
        </a:p>
      </xdr:txBody>
    </xdr:sp>
    <xdr:clientData/>
  </xdr:twoCellAnchor>
  <xdr:twoCellAnchor>
    <xdr:from>
      <xdr:col>6</xdr:col>
      <xdr:colOff>30425</xdr:colOff>
      <xdr:row>6</xdr:row>
      <xdr:rowOff>93893</xdr:rowOff>
    </xdr:from>
    <xdr:to>
      <xdr:col>15</xdr:col>
      <xdr:colOff>47336</xdr:colOff>
      <xdr:row>7</xdr:row>
      <xdr:rowOff>153251</xdr:rowOff>
    </xdr:to>
    <xdr:sp macro="" textlink="">
      <xdr:nvSpPr>
        <xdr:cNvPr id="19" name="Rectangle 18">
          <a:hlinkClick xmlns:r="http://schemas.openxmlformats.org/officeDocument/2006/relationships" r:id="rId8"/>
          <a:extLst>
            <a:ext uri="{FF2B5EF4-FFF2-40B4-BE49-F238E27FC236}">
              <a16:creationId xmlns:a16="http://schemas.microsoft.com/office/drawing/2014/main" id="{C5E8BC45-10B5-4B8A-BEA8-93BE174DE85A}"/>
            </a:ext>
          </a:extLst>
        </xdr:cNvPr>
        <xdr:cNvSpPr/>
      </xdr:nvSpPr>
      <xdr:spPr>
        <a:xfrm>
          <a:off x="3667243" y="1248438"/>
          <a:ext cx="5472138" cy="251783"/>
        </a:xfrm>
        <a:prstGeom prst="rect">
          <a:avLst/>
        </a:prstGeom>
        <a:solidFill>
          <a:srgbClr val="0C769E"/>
        </a:solidFill>
        <a:ln>
          <a:noFill/>
        </a:ln>
        <a:effectLst>
          <a:outerShdw blurRad="107950" dist="12700" dir="5400000" algn="ctr">
            <a:srgbClr val="000000"/>
          </a:outerShdw>
        </a:effectLst>
        <a:scene3d>
          <a:camera prst="orthographicFront">
            <a:rot lat="0" lon="0" rev="0"/>
          </a:camera>
          <a:lightRig rig="soft" dir="t">
            <a:rot lat="0" lon="0" rev="0"/>
          </a:lightRig>
        </a:scene3d>
        <a:sp3d contourW="44450" prstMaterial="matte">
          <a:bevelT w="63500" h="63500" prst="artDeco"/>
          <a:contourClr>
            <a:srgbClr val="FFFFFF"/>
          </a:contourClr>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100">
              <a:latin typeface="Calibri" panose="020F0502020204030204" pitchFamily="34" charset="0"/>
              <a:ea typeface="Calibri" panose="020F0502020204030204" pitchFamily="34" charset="0"/>
              <a:cs typeface="Calibri" panose="020F0502020204030204" pitchFamily="34" charset="0"/>
            </a:rPr>
            <a:t>Admin</a:t>
          </a:r>
        </a:p>
      </xdr:txBody>
    </xdr:sp>
    <xdr:clientData/>
  </xdr:twoCellAnchor>
  <xdr:twoCellAnchor>
    <xdr:from>
      <xdr:col>15</xdr:col>
      <xdr:colOff>471436</xdr:colOff>
      <xdr:row>4</xdr:row>
      <xdr:rowOff>105834</xdr:rowOff>
    </xdr:from>
    <xdr:to>
      <xdr:col>16</xdr:col>
      <xdr:colOff>606132</xdr:colOff>
      <xdr:row>7</xdr:row>
      <xdr:rowOff>134697</xdr:rowOff>
    </xdr:to>
    <xdr:sp macro="" textlink="">
      <xdr:nvSpPr>
        <xdr:cNvPr id="78" name="Rectangle 20">
          <a:extLst>
            <a:ext uri="{FF2B5EF4-FFF2-40B4-BE49-F238E27FC236}">
              <a16:creationId xmlns:a16="http://schemas.microsoft.com/office/drawing/2014/main" id="{93DBC851-DAAC-41CB-8FB8-BDDBD36D26EF}"/>
            </a:ext>
          </a:extLst>
        </xdr:cNvPr>
        <xdr:cNvSpPr/>
      </xdr:nvSpPr>
      <xdr:spPr>
        <a:xfrm>
          <a:off x="9563481" y="875531"/>
          <a:ext cx="740833" cy="606136"/>
        </a:xfrm>
        <a:prstGeom prst="rect">
          <a:avLst/>
        </a:prstGeom>
        <a:solidFill>
          <a:srgbClr val="0C769E"/>
        </a:solidFill>
        <a:ln>
          <a:noFill/>
        </a:ln>
        <a:effectLst>
          <a:outerShdw blurRad="107950" dist="12700" dir="5400000" algn="ctr">
            <a:srgbClr val="000000"/>
          </a:outerShdw>
        </a:effectLst>
        <a:scene3d>
          <a:camera prst="orthographicFront">
            <a:rot lat="0" lon="0" rev="0"/>
          </a:camera>
          <a:lightRig rig="soft" dir="t">
            <a:rot lat="0" lon="0" rev="0"/>
          </a:lightRig>
        </a:scene3d>
        <a:sp3d contourW="44450" prstMaterial="matte">
          <a:bevelT w="63500" h="63500" prst="artDeco"/>
          <a:contourClr>
            <a:srgbClr val="FFFFFF"/>
          </a:contourClr>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100">
              <a:latin typeface="Calibri" panose="020F0502020204030204" pitchFamily="34" charset="0"/>
              <a:ea typeface="Calibri" panose="020F0502020204030204" pitchFamily="34" charset="0"/>
              <a:cs typeface="Calibri" panose="020F0502020204030204" pitchFamily="34" charset="0"/>
            </a:rPr>
            <a:t>Input</a:t>
          </a:r>
        </a:p>
      </xdr:txBody>
    </xdr:sp>
    <xdr:clientData/>
  </xdr:twoCellAnchor>
  <xdr:twoCellAnchor>
    <xdr:from>
      <xdr:col>15</xdr:col>
      <xdr:colOff>481058</xdr:colOff>
      <xdr:row>8</xdr:row>
      <xdr:rowOff>86591</xdr:rowOff>
    </xdr:from>
    <xdr:to>
      <xdr:col>16</xdr:col>
      <xdr:colOff>586891</xdr:colOff>
      <xdr:row>18</xdr:row>
      <xdr:rowOff>115455</xdr:rowOff>
    </xdr:to>
    <xdr:sp macro="" textlink="">
      <xdr:nvSpPr>
        <xdr:cNvPr id="79" name="Rectangle 21">
          <a:extLst>
            <a:ext uri="{FF2B5EF4-FFF2-40B4-BE49-F238E27FC236}">
              <a16:creationId xmlns:a16="http://schemas.microsoft.com/office/drawing/2014/main" id="{DC5F33F9-2CC4-4F35-BAF0-6661437EF6EA}"/>
            </a:ext>
          </a:extLst>
        </xdr:cNvPr>
        <xdr:cNvSpPr/>
      </xdr:nvSpPr>
      <xdr:spPr>
        <a:xfrm>
          <a:off x="9573103" y="1625985"/>
          <a:ext cx="711970" cy="1953106"/>
        </a:xfrm>
        <a:prstGeom prst="rect">
          <a:avLst/>
        </a:prstGeom>
        <a:solidFill>
          <a:srgbClr val="0C769E"/>
        </a:solidFill>
        <a:ln>
          <a:noFill/>
        </a:ln>
        <a:effectLst>
          <a:outerShdw blurRad="107950" dist="12700" dir="5400000" algn="ctr">
            <a:srgbClr val="000000"/>
          </a:outerShdw>
        </a:effectLst>
        <a:scene3d>
          <a:camera prst="orthographicFront">
            <a:rot lat="0" lon="0" rev="0"/>
          </a:camera>
          <a:lightRig rig="soft" dir="t">
            <a:rot lat="0" lon="0" rev="0"/>
          </a:lightRig>
        </a:scene3d>
        <a:sp3d contourW="44450" prstMaterial="matte">
          <a:bevelT w="63500" h="63500" prst="artDeco"/>
          <a:contourClr>
            <a:srgbClr val="FFFFFF"/>
          </a:contourClr>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100">
              <a:latin typeface="Calibri" panose="020F0502020204030204" pitchFamily="34" charset="0"/>
              <a:ea typeface="Calibri" panose="020F0502020204030204" pitchFamily="34" charset="0"/>
              <a:cs typeface="Calibri" panose="020F0502020204030204" pitchFamily="34" charset="0"/>
            </a:rPr>
            <a:t>Working</a:t>
          </a:r>
        </a:p>
      </xdr:txBody>
    </xdr:sp>
    <xdr:clientData/>
  </xdr:twoCellAnchor>
  <xdr:twoCellAnchor>
    <xdr:from>
      <xdr:col>15</xdr:col>
      <xdr:colOff>471437</xdr:colOff>
      <xdr:row>19</xdr:row>
      <xdr:rowOff>76968</xdr:rowOff>
    </xdr:from>
    <xdr:to>
      <xdr:col>16</xdr:col>
      <xdr:colOff>606133</xdr:colOff>
      <xdr:row>20</xdr:row>
      <xdr:rowOff>144317</xdr:rowOff>
    </xdr:to>
    <xdr:sp macro="" textlink="">
      <xdr:nvSpPr>
        <xdr:cNvPr id="80" name="Rectangle 22">
          <a:extLst>
            <a:ext uri="{FF2B5EF4-FFF2-40B4-BE49-F238E27FC236}">
              <a16:creationId xmlns:a16="http://schemas.microsoft.com/office/drawing/2014/main" id="{C7A1DEAE-B01C-4D11-BC3E-34DFAD6F4079}"/>
            </a:ext>
          </a:extLst>
        </xdr:cNvPr>
        <xdr:cNvSpPr/>
      </xdr:nvSpPr>
      <xdr:spPr>
        <a:xfrm>
          <a:off x="9563482" y="3733029"/>
          <a:ext cx="740833" cy="259773"/>
        </a:xfrm>
        <a:prstGeom prst="rect">
          <a:avLst/>
        </a:prstGeom>
        <a:solidFill>
          <a:srgbClr val="0C769E"/>
        </a:solidFill>
        <a:ln>
          <a:noFill/>
        </a:ln>
        <a:effectLst>
          <a:outerShdw blurRad="107950" dist="12700" dir="5400000" algn="ctr">
            <a:srgbClr val="000000"/>
          </a:outerShdw>
        </a:effectLst>
        <a:scene3d>
          <a:camera prst="orthographicFront">
            <a:rot lat="0" lon="0" rev="0"/>
          </a:camera>
          <a:lightRig rig="soft" dir="t">
            <a:rot lat="0" lon="0" rev="0"/>
          </a:lightRig>
        </a:scene3d>
        <a:sp3d contourW="44450" prstMaterial="matte">
          <a:bevelT w="63500" h="63500" prst="artDeco"/>
          <a:contourClr>
            <a:srgbClr val="FFFFFF"/>
          </a:contourClr>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100">
              <a:latin typeface="Calibri" panose="020F0502020204030204" pitchFamily="34" charset="0"/>
              <a:ea typeface="Calibri" panose="020F0502020204030204" pitchFamily="34" charset="0"/>
              <a:cs typeface="Calibri" panose="020F0502020204030204" pitchFamily="34" charset="0"/>
            </a:rPr>
            <a:t>Output</a:t>
          </a:r>
        </a:p>
      </xdr:txBody>
    </xdr:sp>
    <xdr:clientData/>
  </xdr:twoCellAnchor>
</xdr:wsDr>
</file>

<file path=xl/drawings/drawing2.xml><?xml version="1.0" encoding="utf-8"?>
<xdr:wsDr xmlns:xdr="http://schemas.openxmlformats.org/drawingml/2006/spreadsheetDrawing" xmlns:a="http://schemas.openxmlformats.org/drawingml/2006/main">
  <xdr:twoCellAnchor editAs="absolute">
    <xdr:from>
      <xdr:col>0</xdr:col>
      <xdr:colOff>0</xdr:colOff>
      <xdr:row>0</xdr:row>
      <xdr:rowOff>21896</xdr:rowOff>
    </xdr:from>
    <xdr:to>
      <xdr:col>52</xdr:col>
      <xdr:colOff>458335</xdr:colOff>
      <xdr:row>4</xdr:row>
      <xdr:rowOff>27432</xdr:rowOff>
    </xdr:to>
    <xdr:sp macro="" textlink="">
      <xdr:nvSpPr>
        <xdr:cNvPr id="2" name="Rectangle 1">
          <a:extLst>
            <a:ext uri="{FF2B5EF4-FFF2-40B4-BE49-F238E27FC236}">
              <a16:creationId xmlns:a16="http://schemas.microsoft.com/office/drawing/2014/main" id="{B29D461F-1BFF-463A-8C45-874D10EEB6C2}"/>
            </a:ext>
          </a:extLst>
        </xdr:cNvPr>
        <xdr:cNvSpPr>
          <a:spLocks/>
        </xdr:cNvSpPr>
      </xdr:nvSpPr>
      <xdr:spPr>
        <a:xfrm>
          <a:off x="0" y="21896"/>
          <a:ext cx="49043134" cy="735421"/>
        </a:xfrm>
        <a:prstGeom prst="rect">
          <a:avLst/>
        </a:prstGeom>
        <a:solidFill>
          <a:srgbClr val="0C769E"/>
        </a:solidFill>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algn="l"/>
          <a:endParaRPr lang="en-US" sz="1100"/>
        </a:p>
      </xdr:txBody>
    </xdr:sp>
    <xdr:clientData/>
  </xdr:twoCellAnchor>
  <xdr:twoCellAnchor>
    <xdr:from>
      <xdr:col>4</xdr:col>
      <xdr:colOff>2579</xdr:colOff>
      <xdr:row>0</xdr:row>
      <xdr:rowOff>111730</xdr:rowOff>
    </xdr:from>
    <xdr:to>
      <xdr:col>4</xdr:col>
      <xdr:colOff>1194179</xdr:colOff>
      <xdr:row>3</xdr:row>
      <xdr:rowOff>159430</xdr:rowOff>
    </xdr:to>
    <xdr:grpSp>
      <xdr:nvGrpSpPr>
        <xdr:cNvPr id="3" name="Group 2">
          <a:extLst>
            <a:ext uri="{FF2B5EF4-FFF2-40B4-BE49-F238E27FC236}">
              <a16:creationId xmlns:a16="http://schemas.microsoft.com/office/drawing/2014/main" id="{EDC98C05-0783-4917-8C53-0CB729CC0F19}"/>
            </a:ext>
          </a:extLst>
        </xdr:cNvPr>
        <xdr:cNvGrpSpPr/>
      </xdr:nvGrpSpPr>
      <xdr:grpSpPr>
        <a:xfrm>
          <a:off x="7743010" y="111730"/>
          <a:ext cx="1191600" cy="606062"/>
          <a:chOff x="5934075" y="276225"/>
          <a:chExt cx="1316981" cy="607289"/>
        </a:xfrm>
      </xdr:grpSpPr>
      <xdr:grpSp>
        <xdr:nvGrpSpPr>
          <xdr:cNvPr id="4" name="Group 3">
            <a:extLst>
              <a:ext uri="{FF2B5EF4-FFF2-40B4-BE49-F238E27FC236}">
                <a16:creationId xmlns:a16="http://schemas.microsoft.com/office/drawing/2014/main" id="{701A0F2C-E7AD-B22A-6915-3508749AF7AC}"/>
              </a:ext>
            </a:extLst>
          </xdr:cNvPr>
          <xdr:cNvGrpSpPr>
            <a:grpSpLocks/>
          </xdr:cNvGrpSpPr>
        </xdr:nvGrpSpPr>
        <xdr:grpSpPr>
          <a:xfrm>
            <a:off x="5934075" y="276225"/>
            <a:ext cx="1316981" cy="607289"/>
            <a:chOff x="647368" y="981075"/>
            <a:chExt cx="1619915" cy="789528"/>
          </a:xfrm>
        </xdr:grpSpPr>
        <xdr:sp macro="" textlink="">
          <xdr:nvSpPr>
            <xdr:cNvPr id="6" name="TextBox 5">
              <a:extLst>
                <a:ext uri="{FF2B5EF4-FFF2-40B4-BE49-F238E27FC236}">
                  <a16:creationId xmlns:a16="http://schemas.microsoft.com/office/drawing/2014/main" id="{23958CF7-F827-102C-42D4-43D39C4EB992}"/>
                </a:ext>
              </a:extLst>
            </xdr:cNvPr>
            <xdr:cNvSpPr txBox="1"/>
          </xdr:nvSpPr>
          <xdr:spPr>
            <a:xfrm>
              <a:off x="647368" y="1587723"/>
              <a:ext cx="1619915" cy="1828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800" b="1">
                  <a:solidFill>
                    <a:schemeClr val="bg1"/>
                  </a:solidFill>
                  <a:latin typeface="Calibri" panose="020F0502020204030204" pitchFamily="34" charset="0"/>
                  <a:ea typeface="Calibri" panose="020F0502020204030204" pitchFamily="34" charset="0"/>
                  <a:cs typeface="Calibri" panose="020F0502020204030204" pitchFamily="34" charset="0"/>
                </a:rPr>
                <a:t>MEV</a:t>
              </a:r>
            </a:p>
          </xdr:txBody>
        </xdr:sp>
        <xdr:sp macro="" textlink="">
          <xdr:nvSpPr>
            <xdr:cNvPr id="7" name="Rounded Rectangle 32">
              <a:extLst>
                <a:ext uri="{FF2B5EF4-FFF2-40B4-BE49-F238E27FC236}">
                  <a16:creationId xmlns:a16="http://schemas.microsoft.com/office/drawing/2014/main" id="{D2A0B1DA-4DD6-58DC-80BA-C8602B21B39A}"/>
                </a:ext>
              </a:extLst>
            </xdr:cNvPr>
            <xdr:cNvSpPr/>
          </xdr:nvSpPr>
          <xdr:spPr bwMode="auto">
            <a:xfrm>
              <a:off x="1190625" y="981075"/>
              <a:ext cx="548640" cy="548640"/>
            </a:xfrm>
            <a:prstGeom prst="roundRect">
              <a:avLst/>
            </a:prstGeom>
            <a:solidFill>
              <a:schemeClr val="accent2"/>
            </a:solidFill>
            <a:ln w="9525" cap="flat" cmpd="sng" algn="ctr">
              <a:noFill/>
              <a:prstDash val="solid"/>
              <a:round/>
              <a:headEnd type="none" w="med" len="med"/>
              <a:tailEnd type="none" w="med" len="med"/>
            </a:ln>
            <a:effectLst>
              <a:outerShdw blurRad="107950" dist="12700" dir="5400000" algn="ctr">
                <a:srgbClr val="000000"/>
              </a:outerShdw>
            </a:effectLst>
            <a:scene3d>
              <a:camera prst="orthographicFront">
                <a:rot lat="0" lon="0" rev="0"/>
              </a:camera>
              <a:lightRig rig="soft" dir="t">
                <a:rot lat="0" lon="0" rev="0"/>
              </a:lightRig>
            </a:scene3d>
            <a:sp3d contourW="44450" prstMaterial="matte">
              <a:bevelT w="63500" h="63500" prst="artDeco"/>
              <a:contourClr>
                <a:srgbClr val="FFFFFF"/>
              </a:contourClr>
            </a:sp3d>
          </xdr:spPr>
          <xdr:txBody>
            <a:bodyPr vert="horz" wrap="square" lIns="0" tIns="0" rIns="0" bIns="0" numCol="1" rtlCol="0" anchor="t" anchorCtr="0" compatLnSpc="1">
              <a:prstTxWarp prst="textNoShape">
                <a:avLst/>
              </a:prstTxWarp>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231775" indent="-231775" algn="ctr"/>
              <a:endParaRPr lang="en-US" sz="1800" b="1">
                <a:solidFill>
                  <a:srgbClr val="FFFFFF"/>
                </a:solidFill>
                <a:latin typeface="Univers 57 Condensed" pitchFamily="2" charset="0"/>
                <a:cs typeface="Arial"/>
              </a:endParaRPr>
            </a:p>
          </xdr:txBody>
        </xdr:sp>
      </xdr:grpSp>
      <xdr:pic>
        <xdr:nvPicPr>
          <xdr:cNvPr id="5" name="Graphic 10" descr="Downward trend graph with solid fill">
            <a:hlinkClick xmlns:r="http://schemas.openxmlformats.org/officeDocument/2006/relationships" r:id="rId1"/>
            <a:extLst>
              <a:ext uri="{FF2B5EF4-FFF2-40B4-BE49-F238E27FC236}">
                <a16:creationId xmlns:a16="http://schemas.microsoft.com/office/drawing/2014/main" id="{D6BBC752-4371-3035-A1CD-5FE291063412}"/>
              </a:ext>
            </a:extLst>
          </xdr:cNvPr>
          <xdr:cNvPicPr>
            <a:picLocks noChangeAspect="1"/>
          </xdr:cNvPicPr>
        </xdr:nvPicPr>
        <xdr:blipFill>
          <a:blip xmlns:r="http://schemas.openxmlformats.org/officeDocument/2006/relationships" r:embed="rId2">
            <a:extLst>
              <a:ext uri="{96DAC541-7B7A-43D3-8B79-37D633B846F1}">
                <asvg:svgBlip xmlns:asvg="http://schemas.microsoft.com/office/drawing/2016/SVG/main" r:embed="rId3"/>
              </a:ext>
            </a:extLst>
          </a:blip>
          <a:stretch>
            <a:fillRect/>
          </a:stretch>
        </xdr:blipFill>
        <xdr:spPr>
          <a:xfrm>
            <a:off x="6429375" y="304800"/>
            <a:ext cx="323850" cy="323850"/>
          </a:xfrm>
          <a:prstGeom prst="rect">
            <a:avLst/>
          </a:prstGeom>
        </xdr:spPr>
      </xdr:pic>
    </xdr:grpSp>
    <xdr:clientData/>
  </xdr:twoCellAnchor>
  <xdr:twoCellAnchor>
    <xdr:from>
      <xdr:col>2</xdr:col>
      <xdr:colOff>0</xdr:colOff>
      <xdr:row>0</xdr:row>
      <xdr:rowOff>97212</xdr:rowOff>
    </xdr:from>
    <xdr:to>
      <xdr:col>2</xdr:col>
      <xdr:colOff>1191600</xdr:colOff>
      <xdr:row>3</xdr:row>
      <xdr:rowOff>137712</xdr:rowOff>
    </xdr:to>
    <xdr:grpSp>
      <xdr:nvGrpSpPr>
        <xdr:cNvPr id="8" name="Group 7">
          <a:hlinkClick xmlns:r="http://schemas.openxmlformats.org/officeDocument/2006/relationships" r:id="rId4"/>
          <a:extLst>
            <a:ext uri="{FF2B5EF4-FFF2-40B4-BE49-F238E27FC236}">
              <a16:creationId xmlns:a16="http://schemas.microsoft.com/office/drawing/2014/main" id="{09CFA63A-3114-4215-B058-050C4ACD5557}"/>
            </a:ext>
          </a:extLst>
        </xdr:cNvPr>
        <xdr:cNvGrpSpPr/>
      </xdr:nvGrpSpPr>
      <xdr:grpSpPr>
        <a:xfrm>
          <a:off x="5309914" y="97212"/>
          <a:ext cx="1191600" cy="598862"/>
          <a:chOff x="323851" y="104775"/>
          <a:chExt cx="1192276" cy="611004"/>
        </a:xfrm>
      </xdr:grpSpPr>
      <xdr:grpSp>
        <xdr:nvGrpSpPr>
          <xdr:cNvPr id="9" name="Group 8">
            <a:hlinkClick xmlns:r="http://schemas.openxmlformats.org/officeDocument/2006/relationships" r:id="rId5"/>
            <a:extLst>
              <a:ext uri="{FF2B5EF4-FFF2-40B4-BE49-F238E27FC236}">
                <a16:creationId xmlns:a16="http://schemas.microsoft.com/office/drawing/2014/main" id="{CAF28240-095D-56F6-314E-A8FF4B0DD4D1}"/>
              </a:ext>
            </a:extLst>
          </xdr:cNvPr>
          <xdr:cNvGrpSpPr>
            <a:grpSpLocks/>
          </xdr:cNvGrpSpPr>
        </xdr:nvGrpSpPr>
        <xdr:grpSpPr>
          <a:xfrm>
            <a:off x="323851" y="114300"/>
            <a:ext cx="1192276" cy="601479"/>
            <a:chOff x="1016275" y="85726"/>
            <a:chExt cx="1472650" cy="770477"/>
          </a:xfrm>
        </xdr:grpSpPr>
        <xdr:sp macro="" textlink="">
          <xdr:nvSpPr>
            <xdr:cNvPr id="11" name="Rounded Rectangle 27">
              <a:extLst>
                <a:ext uri="{FF2B5EF4-FFF2-40B4-BE49-F238E27FC236}">
                  <a16:creationId xmlns:a16="http://schemas.microsoft.com/office/drawing/2014/main" id="{8327B432-B487-8D45-6CCB-CECDFC2932BE}"/>
                </a:ext>
              </a:extLst>
            </xdr:cNvPr>
            <xdr:cNvSpPr/>
          </xdr:nvSpPr>
          <xdr:spPr bwMode="auto">
            <a:xfrm>
              <a:off x="1478280" y="85726"/>
              <a:ext cx="548640" cy="548638"/>
            </a:xfrm>
            <a:prstGeom prst="roundRect">
              <a:avLst/>
            </a:prstGeom>
            <a:solidFill>
              <a:schemeClr val="accent2"/>
            </a:solidFill>
            <a:ln w="9525" cap="flat" cmpd="sng" algn="ctr">
              <a:noFill/>
              <a:prstDash val="solid"/>
              <a:round/>
              <a:headEnd type="none" w="med" len="med"/>
              <a:tailEnd type="none" w="med" len="med"/>
            </a:ln>
            <a:effectLst>
              <a:outerShdw blurRad="107950" dist="12700" dir="5400000" algn="ctr">
                <a:srgbClr val="000000"/>
              </a:outerShdw>
            </a:effectLst>
            <a:scene3d>
              <a:camera prst="orthographicFront">
                <a:rot lat="0" lon="0" rev="0"/>
              </a:camera>
              <a:lightRig rig="soft" dir="t">
                <a:rot lat="0" lon="0" rev="0"/>
              </a:lightRig>
            </a:scene3d>
            <a:sp3d contourW="44450" prstMaterial="matte">
              <a:bevelT w="63500" h="63500" prst="artDeco"/>
              <a:contourClr>
                <a:srgbClr val="FFFFFF"/>
              </a:contourClr>
            </a:sp3d>
          </xdr:spPr>
          <xdr:txBody>
            <a:bodyPr vert="horz" wrap="square" lIns="0" tIns="0" rIns="0" bIns="0" numCol="1" rtlCol="0" anchor="t" anchorCtr="0" compatLnSpc="1">
              <a:prstTxWarp prst="textNoShape">
                <a:avLst/>
              </a:prstTxWarp>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231775" indent="-231775" algn="ctr"/>
              <a:endParaRPr lang="en-US" sz="1800" b="1">
                <a:solidFill>
                  <a:srgbClr val="FFFFFF"/>
                </a:solidFill>
                <a:latin typeface="Univers 57 Condensed" pitchFamily="2" charset="0"/>
                <a:cs typeface="Arial"/>
              </a:endParaRPr>
            </a:p>
          </xdr:txBody>
        </xdr:sp>
        <xdr:sp macro="" textlink="">
          <xdr:nvSpPr>
            <xdr:cNvPr id="12" name="TextBox 11">
              <a:extLst>
                <a:ext uri="{FF2B5EF4-FFF2-40B4-BE49-F238E27FC236}">
                  <a16:creationId xmlns:a16="http://schemas.microsoft.com/office/drawing/2014/main" id="{0F335497-2362-F888-B954-1FA88982D7C6}"/>
                </a:ext>
              </a:extLst>
            </xdr:cNvPr>
            <xdr:cNvSpPr txBox="1"/>
          </xdr:nvSpPr>
          <xdr:spPr>
            <a:xfrm>
              <a:off x="1016275" y="673323"/>
              <a:ext cx="1472650" cy="1828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800" b="1">
                  <a:solidFill>
                    <a:schemeClr val="bg1"/>
                  </a:solidFill>
                  <a:latin typeface="Calibri" panose="020F0502020204030204" pitchFamily="34" charset="0"/>
                  <a:ea typeface="Calibri" panose="020F0502020204030204" pitchFamily="34" charset="0"/>
                  <a:cs typeface="Calibri" panose="020F0502020204030204" pitchFamily="34" charset="0"/>
                </a:rPr>
                <a:t>Home</a:t>
              </a:r>
            </a:p>
          </xdr:txBody>
        </xdr:sp>
      </xdr:grpSp>
      <xdr:pic>
        <xdr:nvPicPr>
          <xdr:cNvPr id="10" name="Graphic 9" descr="Home outline">
            <a:extLst>
              <a:ext uri="{FF2B5EF4-FFF2-40B4-BE49-F238E27FC236}">
                <a16:creationId xmlns:a16="http://schemas.microsoft.com/office/drawing/2014/main" id="{D9752A3A-F729-3E71-54E6-0E33730068DA}"/>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723900" y="104775"/>
            <a:ext cx="390525" cy="390525"/>
          </a:xfrm>
          <a:prstGeom prst="rect">
            <a:avLst/>
          </a:prstGeom>
        </xdr:spPr>
      </xdr:pic>
    </xdr:grpSp>
    <xdr:clientData/>
  </xdr:twoCellAnchor>
  <xdr:twoCellAnchor>
    <xdr:from>
      <xdr:col>3</xdr:col>
      <xdr:colOff>323324</xdr:colOff>
      <xdr:row>0</xdr:row>
      <xdr:rowOff>105492</xdr:rowOff>
    </xdr:from>
    <xdr:to>
      <xdr:col>4</xdr:col>
      <xdr:colOff>183472</xdr:colOff>
      <xdr:row>3</xdr:row>
      <xdr:rowOff>146153</xdr:rowOff>
    </xdr:to>
    <xdr:grpSp>
      <xdr:nvGrpSpPr>
        <xdr:cNvPr id="13" name="Group 12">
          <a:hlinkClick xmlns:r="http://schemas.openxmlformats.org/officeDocument/2006/relationships" r:id="rId8"/>
          <a:extLst>
            <a:ext uri="{FF2B5EF4-FFF2-40B4-BE49-F238E27FC236}">
              <a16:creationId xmlns:a16="http://schemas.microsoft.com/office/drawing/2014/main" id="{20B93FDE-FA01-46FE-9B0A-D4DB696FFCDB}"/>
            </a:ext>
          </a:extLst>
        </xdr:cNvPr>
        <xdr:cNvGrpSpPr/>
      </xdr:nvGrpSpPr>
      <xdr:grpSpPr>
        <a:xfrm>
          <a:off x="6859445" y="105492"/>
          <a:ext cx="1064458" cy="599023"/>
          <a:chOff x="4533901" y="95250"/>
          <a:chExt cx="1192276" cy="601479"/>
        </a:xfrm>
      </xdr:grpSpPr>
      <xdr:grpSp>
        <xdr:nvGrpSpPr>
          <xdr:cNvPr id="14" name="Group 13">
            <a:hlinkClick xmlns:r="http://schemas.openxmlformats.org/officeDocument/2006/relationships" r:id="rId8"/>
            <a:extLst>
              <a:ext uri="{FF2B5EF4-FFF2-40B4-BE49-F238E27FC236}">
                <a16:creationId xmlns:a16="http://schemas.microsoft.com/office/drawing/2014/main" id="{EF572328-CE14-EA4F-3937-D4429E79F85E}"/>
              </a:ext>
            </a:extLst>
          </xdr:cNvPr>
          <xdr:cNvGrpSpPr>
            <a:grpSpLocks/>
          </xdr:cNvGrpSpPr>
        </xdr:nvGrpSpPr>
        <xdr:grpSpPr>
          <a:xfrm>
            <a:off x="4533901" y="95250"/>
            <a:ext cx="1192276" cy="601479"/>
            <a:chOff x="1016275" y="85726"/>
            <a:chExt cx="1472650" cy="770477"/>
          </a:xfrm>
        </xdr:grpSpPr>
        <xdr:sp macro="" textlink="">
          <xdr:nvSpPr>
            <xdr:cNvPr id="16" name="Rounded Rectangle 27">
              <a:extLst>
                <a:ext uri="{FF2B5EF4-FFF2-40B4-BE49-F238E27FC236}">
                  <a16:creationId xmlns:a16="http://schemas.microsoft.com/office/drawing/2014/main" id="{A1DF343A-0265-F2C5-3CB4-E32DAB53A08C}"/>
                </a:ext>
              </a:extLst>
            </xdr:cNvPr>
            <xdr:cNvSpPr/>
          </xdr:nvSpPr>
          <xdr:spPr bwMode="auto">
            <a:xfrm>
              <a:off x="1478280" y="85726"/>
              <a:ext cx="548640" cy="548638"/>
            </a:xfrm>
            <a:prstGeom prst="roundRect">
              <a:avLst/>
            </a:prstGeom>
            <a:solidFill>
              <a:schemeClr val="accent2"/>
            </a:solidFill>
            <a:ln w="9525" cap="flat" cmpd="sng" algn="ctr">
              <a:noFill/>
              <a:prstDash val="solid"/>
              <a:round/>
              <a:headEnd type="none" w="med" len="med"/>
              <a:tailEnd type="none" w="med" len="med"/>
            </a:ln>
            <a:effectLst>
              <a:outerShdw blurRad="107950" dist="12700" dir="5400000" algn="ctr">
                <a:srgbClr val="000000"/>
              </a:outerShdw>
            </a:effectLst>
            <a:scene3d>
              <a:camera prst="orthographicFront">
                <a:rot lat="0" lon="0" rev="0"/>
              </a:camera>
              <a:lightRig rig="soft" dir="t">
                <a:rot lat="0" lon="0" rev="0"/>
              </a:lightRig>
            </a:scene3d>
            <a:sp3d contourW="44450" prstMaterial="matte">
              <a:bevelT w="63500" h="63500" prst="artDeco"/>
              <a:contourClr>
                <a:srgbClr val="FFFFFF"/>
              </a:contourClr>
            </a:sp3d>
          </xdr:spPr>
          <xdr:txBody>
            <a:bodyPr vert="horz" wrap="square" lIns="0" tIns="0" rIns="0" bIns="0" numCol="1" rtlCol="0" anchor="t" anchorCtr="0" compatLnSpc="1">
              <a:prstTxWarp prst="textNoShape">
                <a:avLst/>
              </a:prstTxWarp>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231775" indent="-231775" algn="ctr"/>
              <a:endParaRPr lang="en-US" sz="1800" b="1">
                <a:solidFill>
                  <a:srgbClr val="FFFFFF"/>
                </a:solidFill>
                <a:latin typeface="Univers 57 Condensed" pitchFamily="2" charset="0"/>
                <a:cs typeface="Arial"/>
              </a:endParaRPr>
            </a:p>
          </xdr:txBody>
        </xdr:sp>
        <xdr:sp macro="" textlink="">
          <xdr:nvSpPr>
            <xdr:cNvPr id="17" name="TextBox 16">
              <a:extLst>
                <a:ext uri="{FF2B5EF4-FFF2-40B4-BE49-F238E27FC236}">
                  <a16:creationId xmlns:a16="http://schemas.microsoft.com/office/drawing/2014/main" id="{49CDC414-374F-3C95-D455-01D623B56FB6}"/>
                </a:ext>
              </a:extLst>
            </xdr:cNvPr>
            <xdr:cNvSpPr txBox="1"/>
          </xdr:nvSpPr>
          <xdr:spPr>
            <a:xfrm>
              <a:off x="1016275" y="673323"/>
              <a:ext cx="1472650" cy="1828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800" b="1">
                  <a:solidFill>
                    <a:schemeClr val="bg1"/>
                  </a:solidFill>
                  <a:latin typeface="Calibri" panose="020F0502020204030204" pitchFamily="34" charset="0"/>
                  <a:ea typeface="Calibri" panose="020F0502020204030204" pitchFamily="34" charset="0"/>
                  <a:cs typeface="Calibri" panose="020F0502020204030204" pitchFamily="34" charset="0"/>
                </a:rPr>
                <a:t>TTC PD</a:t>
              </a:r>
            </a:p>
          </xdr:txBody>
        </xdr:sp>
      </xdr:grpSp>
      <xdr:pic>
        <xdr:nvPicPr>
          <xdr:cNvPr id="15" name="Graphic 8" descr="Calculator with solid fill">
            <a:extLst>
              <a:ext uri="{FF2B5EF4-FFF2-40B4-BE49-F238E27FC236}">
                <a16:creationId xmlns:a16="http://schemas.microsoft.com/office/drawing/2014/main" id="{71546484-F289-0611-4875-67C66A92D29B}"/>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4940537" y="133528"/>
            <a:ext cx="371475" cy="371475"/>
          </a:xfrm>
          <a:prstGeom prst="rect">
            <a:avLst/>
          </a:prstGeom>
        </xdr:spPr>
      </xdr:pic>
    </xdr:grpSp>
    <xdr:clientData/>
  </xdr:twoCellAnchor>
  <xdr:twoCellAnchor>
    <xdr:from>
      <xdr:col>2</xdr:col>
      <xdr:colOff>927697</xdr:colOff>
      <xdr:row>0</xdr:row>
      <xdr:rowOff>93345</xdr:rowOff>
    </xdr:from>
    <xdr:to>
      <xdr:col>3</xdr:col>
      <xdr:colOff>603490</xdr:colOff>
      <xdr:row>3</xdr:row>
      <xdr:rowOff>139815</xdr:rowOff>
    </xdr:to>
    <xdr:grpSp>
      <xdr:nvGrpSpPr>
        <xdr:cNvPr id="18" name="Group 17">
          <a:hlinkClick xmlns:r="http://schemas.openxmlformats.org/officeDocument/2006/relationships" r:id="rId11"/>
          <a:extLst>
            <a:ext uri="{FF2B5EF4-FFF2-40B4-BE49-F238E27FC236}">
              <a16:creationId xmlns:a16="http://schemas.microsoft.com/office/drawing/2014/main" id="{8048E350-A909-4BD9-8DCE-81D50C93155B}"/>
            </a:ext>
          </a:extLst>
        </xdr:cNvPr>
        <xdr:cNvGrpSpPr/>
      </xdr:nvGrpSpPr>
      <xdr:grpSpPr>
        <a:xfrm>
          <a:off x="6237611" y="93345"/>
          <a:ext cx="902000" cy="604832"/>
          <a:chOff x="5056527" y="85725"/>
          <a:chExt cx="1316981" cy="607288"/>
        </a:xfrm>
      </xdr:grpSpPr>
      <xdr:grpSp>
        <xdr:nvGrpSpPr>
          <xdr:cNvPr id="19" name="Group 18">
            <a:hlinkClick xmlns:r="http://schemas.openxmlformats.org/officeDocument/2006/relationships" r:id="rId12"/>
            <a:extLst>
              <a:ext uri="{FF2B5EF4-FFF2-40B4-BE49-F238E27FC236}">
                <a16:creationId xmlns:a16="http://schemas.microsoft.com/office/drawing/2014/main" id="{1799C304-6F16-B958-F5CC-3E01D80768DE}"/>
              </a:ext>
            </a:extLst>
          </xdr:cNvPr>
          <xdr:cNvGrpSpPr>
            <a:grpSpLocks/>
          </xdr:cNvGrpSpPr>
        </xdr:nvGrpSpPr>
        <xdr:grpSpPr>
          <a:xfrm>
            <a:off x="5056527" y="85725"/>
            <a:ext cx="1316981" cy="607288"/>
            <a:chOff x="5655609" y="107836"/>
            <a:chExt cx="1316981" cy="607288"/>
          </a:xfrm>
        </xdr:grpSpPr>
        <xdr:sp macro="" textlink="">
          <xdr:nvSpPr>
            <xdr:cNvPr id="21" name="TextBox 20">
              <a:extLst>
                <a:ext uri="{FF2B5EF4-FFF2-40B4-BE49-F238E27FC236}">
                  <a16:creationId xmlns:a16="http://schemas.microsoft.com/office/drawing/2014/main" id="{36ECEA0A-BFEB-CA27-AF41-63C67A1DD9BA}"/>
                </a:ext>
              </a:extLst>
            </xdr:cNvPr>
            <xdr:cNvSpPr txBox="1"/>
          </xdr:nvSpPr>
          <xdr:spPr>
            <a:xfrm>
              <a:off x="5655609" y="574456"/>
              <a:ext cx="1316981" cy="14066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800" b="1">
                  <a:solidFill>
                    <a:schemeClr val="bg1"/>
                  </a:solidFill>
                  <a:latin typeface="Calibri" panose="020F0502020204030204" pitchFamily="34" charset="0"/>
                  <a:ea typeface="Calibri" panose="020F0502020204030204" pitchFamily="34" charset="0"/>
                  <a:cs typeface="Calibri" panose="020F0502020204030204" pitchFamily="34" charset="0"/>
                </a:rPr>
                <a:t>PIT PD</a:t>
              </a:r>
            </a:p>
          </xdr:txBody>
        </xdr:sp>
        <xdr:sp macro="" textlink="">
          <xdr:nvSpPr>
            <xdr:cNvPr id="22" name="Rounded Rectangle 32">
              <a:extLst>
                <a:ext uri="{FF2B5EF4-FFF2-40B4-BE49-F238E27FC236}">
                  <a16:creationId xmlns:a16="http://schemas.microsoft.com/office/drawing/2014/main" id="{14982D8A-7282-9C7A-331C-6A73B0627C60}"/>
                </a:ext>
              </a:extLst>
            </xdr:cNvPr>
            <xdr:cNvSpPr/>
          </xdr:nvSpPr>
          <xdr:spPr bwMode="auto">
            <a:xfrm>
              <a:off x="6097274" y="107836"/>
              <a:ext cx="446041" cy="422003"/>
            </a:xfrm>
            <a:prstGeom prst="roundRect">
              <a:avLst/>
            </a:prstGeom>
            <a:solidFill>
              <a:schemeClr val="accent2"/>
            </a:solidFill>
            <a:ln w="9525" cap="flat" cmpd="sng" algn="ctr">
              <a:noFill/>
              <a:prstDash val="solid"/>
              <a:round/>
              <a:headEnd type="none" w="med" len="med"/>
              <a:tailEnd type="none" w="med" len="med"/>
            </a:ln>
            <a:effectLst>
              <a:outerShdw blurRad="107950" dist="12700" dir="5400000" algn="ctr">
                <a:srgbClr val="000000"/>
              </a:outerShdw>
            </a:effectLst>
            <a:scene3d>
              <a:camera prst="orthographicFront">
                <a:rot lat="0" lon="0" rev="0"/>
              </a:camera>
              <a:lightRig rig="soft" dir="t">
                <a:rot lat="0" lon="0" rev="0"/>
              </a:lightRig>
            </a:scene3d>
            <a:sp3d contourW="44450" prstMaterial="matte">
              <a:bevelT w="63500" h="63500" prst="artDeco"/>
              <a:contourClr>
                <a:srgbClr val="FFFFFF"/>
              </a:contourClr>
            </a:sp3d>
          </xdr:spPr>
          <xdr:txBody>
            <a:bodyPr vert="horz" wrap="square" lIns="0" tIns="0" rIns="0" bIns="0" numCol="1" rtlCol="0" anchor="t" anchorCtr="0" compatLnSpc="1">
              <a:prstTxWarp prst="textNoShape">
                <a:avLst/>
              </a:prstTxWarp>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231775" indent="-231775" algn="ctr"/>
              <a:endParaRPr lang="en-US" sz="1800" b="1">
                <a:solidFill>
                  <a:srgbClr val="FFFFFF"/>
                </a:solidFill>
                <a:latin typeface="Univers 57 Condensed" pitchFamily="2" charset="0"/>
                <a:cs typeface="Arial"/>
              </a:endParaRPr>
            </a:p>
          </xdr:txBody>
        </xdr:sp>
      </xdr:grpSp>
      <xdr:pic>
        <xdr:nvPicPr>
          <xdr:cNvPr id="20" name="Graphic 12" descr="Bar graph with downward trend with solid fill">
            <a:extLst>
              <a:ext uri="{FF2B5EF4-FFF2-40B4-BE49-F238E27FC236}">
                <a16:creationId xmlns:a16="http://schemas.microsoft.com/office/drawing/2014/main" id="{1374091A-BDEE-924B-AB8E-B6689375863E}"/>
              </a:ext>
            </a:extLst>
          </xdr:cNvPr>
          <xdr:cNvPicPr>
            <a:picLocks noChangeAspect="1"/>
          </xdr:cNvPicPr>
        </xdr:nvPicPr>
        <xdr:blipFill>
          <a:blip xmlns:r="http://schemas.openxmlformats.org/officeDocument/2006/relationships" r:embed="rId13">
            <a:extLst>
              <a:ext uri="{96DAC541-7B7A-43D3-8B79-37D633B846F1}">
                <asvg:svgBlip xmlns:asvg="http://schemas.microsoft.com/office/drawing/2016/SVG/main" r:embed="rId14"/>
              </a:ext>
            </a:extLst>
          </a:blip>
          <a:stretch>
            <a:fillRect/>
          </a:stretch>
        </xdr:blipFill>
        <xdr:spPr>
          <a:xfrm>
            <a:off x="5581472" y="133528"/>
            <a:ext cx="314325" cy="314325"/>
          </a:xfrm>
          <a:prstGeom prst="rect">
            <a:avLst/>
          </a:prstGeom>
        </xdr:spPr>
      </xdr:pic>
    </xdr:grpSp>
    <xdr:clientData/>
  </xdr:twoCellAnchor>
  <xdr:twoCellAnchor>
    <xdr:from>
      <xdr:col>4</xdr:col>
      <xdr:colOff>1067336</xdr:colOff>
      <xdr:row>0</xdr:row>
      <xdr:rowOff>121804</xdr:rowOff>
    </xdr:from>
    <xdr:to>
      <xdr:col>5</xdr:col>
      <xdr:colOff>923246</xdr:colOff>
      <xdr:row>3</xdr:row>
      <xdr:rowOff>169504</xdr:rowOff>
    </xdr:to>
    <xdr:grpSp>
      <xdr:nvGrpSpPr>
        <xdr:cNvPr id="23" name="Group 22">
          <a:hlinkClick xmlns:r="http://schemas.openxmlformats.org/officeDocument/2006/relationships" r:id="rId15"/>
          <a:extLst>
            <a:ext uri="{FF2B5EF4-FFF2-40B4-BE49-F238E27FC236}">
              <a16:creationId xmlns:a16="http://schemas.microsoft.com/office/drawing/2014/main" id="{501956C0-4A94-43A7-9848-9B06043139DD}"/>
            </a:ext>
          </a:extLst>
        </xdr:cNvPr>
        <xdr:cNvGrpSpPr/>
      </xdr:nvGrpSpPr>
      <xdr:grpSpPr>
        <a:xfrm>
          <a:off x="8807767" y="121804"/>
          <a:ext cx="1136858" cy="606062"/>
          <a:chOff x="5934075" y="276225"/>
          <a:chExt cx="1316981" cy="607289"/>
        </a:xfrm>
      </xdr:grpSpPr>
      <xdr:grpSp>
        <xdr:nvGrpSpPr>
          <xdr:cNvPr id="24" name="Group 23">
            <a:extLst>
              <a:ext uri="{FF2B5EF4-FFF2-40B4-BE49-F238E27FC236}">
                <a16:creationId xmlns:a16="http://schemas.microsoft.com/office/drawing/2014/main" id="{462DD74D-5BBE-9A4C-93ED-3C4CDE5FED23}"/>
              </a:ext>
            </a:extLst>
          </xdr:cNvPr>
          <xdr:cNvGrpSpPr>
            <a:grpSpLocks/>
          </xdr:cNvGrpSpPr>
        </xdr:nvGrpSpPr>
        <xdr:grpSpPr>
          <a:xfrm>
            <a:off x="5934075" y="276225"/>
            <a:ext cx="1316981" cy="607289"/>
            <a:chOff x="647368" y="981075"/>
            <a:chExt cx="1619915" cy="789528"/>
          </a:xfrm>
        </xdr:grpSpPr>
        <xdr:sp macro="" textlink="">
          <xdr:nvSpPr>
            <xdr:cNvPr id="26" name="TextBox 25">
              <a:extLst>
                <a:ext uri="{FF2B5EF4-FFF2-40B4-BE49-F238E27FC236}">
                  <a16:creationId xmlns:a16="http://schemas.microsoft.com/office/drawing/2014/main" id="{8A95AE9B-454B-03D3-B0A9-B9D695368295}"/>
                </a:ext>
              </a:extLst>
            </xdr:cNvPr>
            <xdr:cNvSpPr txBox="1"/>
          </xdr:nvSpPr>
          <xdr:spPr>
            <a:xfrm>
              <a:off x="647368" y="1587723"/>
              <a:ext cx="1619915" cy="1828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800" b="1">
                  <a:solidFill>
                    <a:schemeClr val="bg1"/>
                  </a:solidFill>
                  <a:latin typeface="Calibri" panose="020F0502020204030204" pitchFamily="34" charset="0"/>
                  <a:ea typeface="Calibri" panose="020F0502020204030204" pitchFamily="34" charset="0"/>
                  <a:cs typeface="Calibri" panose="020F0502020204030204" pitchFamily="34" charset="0"/>
                </a:rPr>
                <a:t>ECL</a:t>
              </a:r>
              <a:r>
                <a:rPr lang="en-US" sz="800" b="1" baseline="0">
                  <a:solidFill>
                    <a:schemeClr val="bg1"/>
                  </a:solidFill>
                  <a:latin typeface="Calibri" panose="020F0502020204030204" pitchFamily="34" charset="0"/>
                  <a:ea typeface="Calibri" panose="020F0502020204030204" pitchFamily="34" charset="0"/>
                  <a:cs typeface="Calibri" panose="020F0502020204030204" pitchFamily="34" charset="0"/>
                </a:rPr>
                <a:t> </a:t>
              </a:r>
              <a:endParaRPr lang="en-US" sz="800" b="1">
                <a:solidFill>
                  <a:schemeClr val="bg1"/>
                </a:solidFill>
                <a:latin typeface="Calibri" panose="020F0502020204030204" pitchFamily="34" charset="0"/>
                <a:ea typeface="Calibri" panose="020F0502020204030204" pitchFamily="34" charset="0"/>
                <a:cs typeface="Calibri" panose="020F0502020204030204" pitchFamily="34" charset="0"/>
              </a:endParaRPr>
            </a:p>
          </xdr:txBody>
        </xdr:sp>
        <xdr:sp macro="" textlink="">
          <xdr:nvSpPr>
            <xdr:cNvPr id="27" name="Rounded Rectangle 32">
              <a:extLst>
                <a:ext uri="{FF2B5EF4-FFF2-40B4-BE49-F238E27FC236}">
                  <a16:creationId xmlns:a16="http://schemas.microsoft.com/office/drawing/2014/main" id="{120CC6F9-374F-2E1D-C2BD-DBC5C8A94C85}"/>
                </a:ext>
              </a:extLst>
            </xdr:cNvPr>
            <xdr:cNvSpPr/>
          </xdr:nvSpPr>
          <xdr:spPr bwMode="auto">
            <a:xfrm>
              <a:off x="1190625" y="981075"/>
              <a:ext cx="548640" cy="548640"/>
            </a:xfrm>
            <a:prstGeom prst="roundRect">
              <a:avLst/>
            </a:prstGeom>
            <a:solidFill>
              <a:schemeClr val="accent2"/>
            </a:solidFill>
            <a:ln w="9525" cap="flat" cmpd="sng" algn="ctr">
              <a:noFill/>
              <a:prstDash val="solid"/>
              <a:round/>
              <a:headEnd type="none" w="med" len="med"/>
              <a:tailEnd type="none" w="med" len="med"/>
            </a:ln>
            <a:effectLst>
              <a:outerShdw blurRad="107950" dist="12700" dir="5400000" algn="ctr">
                <a:srgbClr val="000000"/>
              </a:outerShdw>
            </a:effectLst>
            <a:scene3d>
              <a:camera prst="orthographicFront">
                <a:rot lat="0" lon="0" rev="0"/>
              </a:camera>
              <a:lightRig rig="soft" dir="t">
                <a:rot lat="0" lon="0" rev="0"/>
              </a:lightRig>
            </a:scene3d>
            <a:sp3d contourW="44450" prstMaterial="matte">
              <a:bevelT w="63500" h="63500" prst="artDeco"/>
              <a:contourClr>
                <a:srgbClr val="FFFFFF"/>
              </a:contourClr>
            </a:sp3d>
          </xdr:spPr>
          <xdr:txBody>
            <a:bodyPr vert="horz" wrap="square" lIns="0" tIns="0" rIns="0" bIns="0" numCol="1" rtlCol="0" anchor="t" anchorCtr="0" compatLnSpc="1">
              <a:prstTxWarp prst="textNoShape">
                <a:avLst/>
              </a:prstTxWarp>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231775" indent="-231775" algn="ctr"/>
              <a:endParaRPr lang="en-US" sz="1800" b="1">
                <a:solidFill>
                  <a:srgbClr val="FFFFFF"/>
                </a:solidFill>
                <a:latin typeface="Univers 57 Condensed" pitchFamily="2" charset="0"/>
                <a:cs typeface="Arial"/>
              </a:endParaRPr>
            </a:p>
          </xdr:txBody>
        </xdr:sp>
      </xdr:grpSp>
      <xdr:pic>
        <xdr:nvPicPr>
          <xdr:cNvPr id="25" name="Graphic 10" descr="Downward trend graph with solid fill">
            <a:hlinkClick xmlns:r="http://schemas.openxmlformats.org/officeDocument/2006/relationships" r:id="rId1"/>
            <a:extLst>
              <a:ext uri="{FF2B5EF4-FFF2-40B4-BE49-F238E27FC236}">
                <a16:creationId xmlns:a16="http://schemas.microsoft.com/office/drawing/2014/main" id="{4B5249F8-A589-A3EF-1589-BE9E22D850E9}"/>
              </a:ext>
            </a:extLst>
          </xdr:cNvPr>
          <xdr:cNvPicPr>
            <a:picLocks noChangeAspect="1"/>
          </xdr:cNvPicPr>
        </xdr:nvPicPr>
        <xdr:blipFill>
          <a:blip xmlns:r="http://schemas.openxmlformats.org/officeDocument/2006/relationships" r:embed="rId2">
            <a:extLst>
              <a:ext uri="{96DAC541-7B7A-43D3-8B79-37D633B846F1}">
                <asvg:svgBlip xmlns:asvg="http://schemas.microsoft.com/office/drawing/2016/SVG/main" r:embed="rId3"/>
              </a:ext>
            </a:extLst>
          </a:blip>
          <a:stretch>
            <a:fillRect/>
          </a:stretch>
        </xdr:blipFill>
        <xdr:spPr>
          <a:xfrm>
            <a:off x="6429375" y="304800"/>
            <a:ext cx="323850" cy="323850"/>
          </a:xfrm>
          <a:prstGeom prst="rect">
            <a:avLst/>
          </a:prstGeom>
        </xdr:spPr>
      </xdr:pic>
    </xdr:grpSp>
    <xdr:clientData/>
  </xdr:twoCellAnchor>
</xdr:wsDr>
</file>

<file path=xl/drawings/drawing3.xml><?xml version="1.0" encoding="utf-8"?>
<xdr:wsDr xmlns:xdr="http://schemas.openxmlformats.org/drawingml/2006/spreadsheetDrawing" xmlns:a="http://schemas.openxmlformats.org/drawingml/2006/main">
  <xdr:twoCellAnchor editAs="absolute">
    <xdr:from>
      <xdr:col>0</xdr:col>
      <xdr:colOff>0</xdr:colOff>
      <xdr:row>0</xdr:row>
      <xdr:rowOff>19050</xdr:rowOff>
    </xdr:from>
    <xdr:to>
      <xdr:col>21</xdr:col>
      <xdr:colOff>333374</xdr:colOff>
      <xdr:row>4</xdr:row>
      <xdr:rowOff>28575</xdr:rowOff>
    </xdr:to>
    <xdr:sp macro="" textlink="">
      <xdr:nvSpPr>
        <xdr:cNvPr id="2" name="Rectangle 1">
          <a:extLst>
            <a:ext uri="{FF2B5EF4-FFF2-40B4-BE49-F238E27FC236}">
              <a16:creationId xmlns:a16="http://schemas.microsoft.com/office/drawing/2014/main" id="{7CFDF30F-20F5-450A-8160-83F9946A23E2}"/>
            </a:ext>
          </a:extLst>
        </xdr:cNvPr>
        <xdr:cNvSpPr>
          <a:spLocks/>
        </xdr:cNvSpPr>
      </xdr:nvSpPr>
      <xdr:spPr>
        <a:xfrm>
          <a:off x="0" y="19050"/>
          <a:ext cx="14424024" cy="746125"/>
        </a:xfrm>
        <a:prstGeom prst="rect">
          <a:avLst/>
        </a:prstGeom>
        <a:solidFill>
          <a:srgbClr val="0C769E"/>
        </a:solidFill>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algn="l"/>
          <a:endParaRPr lang="en-US" sz="1100"/>
        </a:p>
      </xdr:txBody>
    </xdr:sp>
    <xdr:clientData/>
  </xdr:twoCellAnchor>
  <xdr:twoCellAnchor>
    <xdr:from>
      <xdr:col>3</xdr:col>
      <xdr:colOff>1242578</xdr:colOff>
      <xdr:row>0</xdr:row>
      <xdr:rowOff>90920</xdr:rowOff>
    </xdr:from>
    <xdr:to>
      <xdr:col>5</xdr:col>
      <xdr:colOff>176753</xdr:colOff>
      <xdr:row>3</xdr:row>
      <xdr:rowOff>131420</xdr:rowOff>
    </xdr:to>
    <xdr:grpSp>
      <xdr:nvGrpSpPr>
        <xdr:cNvPr id="8" name="Group 7">
          <a:hlinkClick xmlns:r="http://schemas.openxmlformats.org/officeDocument/2006/relationships" r:id="rId1"/>
          <a:extLst>
            <a:ext uri="{FF2B5EF4-FFF2-40B4-BE49-F238E27FC236}">
              <a16:creationId xmlns:a16="http://schemas.microsoft.com/office/drawing/2014/main" id="{27C3C0BE-8CB7-49F6-A12E-8EE25E7C2D43}"/>
            </a:ext>
          </a:extLst>
        </xdr:cNvPr>
        <xdr:cNvGrpSpPr/>
      </xdr:nvGrpSpPr>
      <xdr:grpSpPr>
        <a:xfrm>
          <a:off x="3176153" y="90920"/>
          <a:ext cx="1191600" cy="612000"/>
          <a:chOff x="8776854" y="197427"/>
          <a:chExt cx="1316981" cy="607288"/>
        </a:xfrm>
      </xdr:grpSpPr>
      <xdr:grpSp>
        <xdr:nvGrpSpPr>
          <xdr:cNvPr id="9" name="Group 8">
            <a:hlinkClick xmlns:r="http://schemas.openxmlformats.org/officeDocument/2006/relationships" r:id="rId2"/>
            <a:extLst>
              <a:ext uri="{FF2B5EF4-FFF2-40B4-BE49-F238E27FC236}">
                <a16:creationId xmlns:a16="http://schemas.microsoft.com/office/drawing/2014/main" id="{77782D5F-1CFD-C829-D6D3-3F270742EA2E}"/>
              </a:ext>
            </a:extLst>
          </xdr:cNvPr>
          <xdr:cNvGrpSpPr>
            <a:grpSpLocks/>
          </xdr:cNvGrpSpPr>
        </xdr:nvGrpSpPr>
        <xdr:grpSpPr>
          <a:xfrm>
            <a:off x="8776854" y="197427"/>
            <a:ext cx="1316981" cy="607288"/>
            <a:chOff x="5655609" y="107836"/>
            <a:chExt cx="1316981" cy="607288"/>
          </a:xfrm>
        </xdr:grpSpPr>
        <xdr:sp macro="" textlink="">
          <xdr:nvSpPr>
            <xdr:cNvPr id="11" name="TextBox 10">
              <a:extLst>
                <a:ext uri="{FF2B5EF4-FFF2-40B4-BE49-F238E27FC236}">
                  <a16:creationId xmlns:a16="http://schemas.microsoft.com/office/drawing/2014/main" id="{FAEB6B49-497A-82D7-76A6-D3E7997EF7FE}"/>
                </a:ext>
              </a:extLst>
            </xdr:cNvPr>
            <xdr:cNvSpPr txBox="1"/>
          </xdr:nvSpPr>
          <xdr:spPr>
            <a:xfrm>
              <a:off x="5655609" y="574456"/>
              <a:ext cx="1316981" cy="14066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800" b="1">
                  <a:solidFill>
                    <a:schemeClr val="bg1"/>
                  </a:solidFill>
                  <a:latin typeface="Calibri" panose="020F0502020204030204" pitchFamily="34" charset="0"/>
                  <a:ea typeface="Calibri" panose="020F0502020204030204" pitchFamily="34" charset="0"/>
                  <a:cs typeface="Calibri" panose="020F0502020204030204" pitchFamily="34" charset="0"/>
                </a:rPr>
                <a:t>PIT PD</a:t>
              </a:r>
            </a:p>
          </xdr:txBody>
        </xdr:sp>
        <xdr:sp macro="" textlink="">
          <xdr:nvSpPr>
            <xdr:cNvPr id="12" name="Rounded Rectangle 32">
              <a:extLst>
                <a:ext uri="{FF2B5EF4-FFF2-40B4-BE49-F238E27FC236}">
                  <a16:creationId xmlns:a16="http://schemas.microsoft.com/office/drawing/2014/main" id="{C76FA16F-05D1-004D-A8E7-02D9A3879A8E}"/>
                </a:ext>
              </a:extLst>
            </xdr:cNvPr>
            <xdr:cNvSpPr/>
          </xdr:nvSpPr>
          <xdr:spPr bwMode="auto">
            <a:xfrm>
              <a:off x="6097274" y="107836"/>
              <a:ext cx="446041" cy="422003"/>
            </a:xfrm>
            <a:prstGeom prst="roundRect">
              <a:avLst/>
            </a:prstGeom>
            <a:solidFill>
              <a:schemeClr val="accent2"/>
            </a:solidFill>
            <a:ln w="9525" cap="flat" cmpd="sng" algn="ctr">
              <a:noFill/>
              <a:prstDash val="solid"/>
              <a:round/>
              <a:headEnd type="none" w="med" len="med"/>
              <a:tailEnd type="none" w="med" len="med"/>
            </a:ln>
            <a:effectLst>
              <a:outerShdw blurRad="107950" dist="12700" dir="5400000" algn="ctr">
                <a:srgbClr val="000000"/>
              </a:outerShdw>
            </a:effectLst>
            <a:scene3d>
              <a:camera prst="orthographicFront">
                <a:rot lat="0" lon="0" rev="0"/>
              </a:camera>
              <a:lightRig rig="soft" dir="t">
                <a:rot lat="0" lon="0" rev="0"/>
              </a:lightRig>
            </a:scene3d>
            <a:sp3d contourW="44450" prstMaterial="matte">
              <a:bevelT w="63500" h="63500" prst="artDeco"/>
              <a:contourClr>
                <a:srgbClr val="FFFFFF"/>
              </a:contourClr>
            </a:sp3d>
          </xdr:spPr>
          <xdr:txBody>
            <a:bodyPr vert="horz" wrap="square" lIns="0" tIns="0" rIns="0" bIns="0" numCol="1" rtlCol="0" anchor="t" anchorCtr="0" compatLnSpc="1">
              <a:prstTxWarp prst="textNoShape">
                <a:avLst/>
              </a:prstTxWarp>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231775" indent="-231775" algn="ctr"/>
              <a:endParaRPr lang="en-US" sz="1800" b="1">
                <a:solidFill>
                  <a:srgbClr val="FFFFFF"/>
                </a:solidFill>
                <a:latin typeface="Univers 57 Condensed" pitchFamily="2" charset="0"/>
                <a:cs typeface="Arial"/>
              </a:endParaRPr>
            </a:p>
          </xdr:txBody>
        </xdr:sp>
      </xdr:grpSp>
      <xdr:pic>
        <xdr:nvPicPr>
          <xdr:cNvPr id="10" name="Graphic 12" descr="Bar graph with downward trend with solid fill">
            <a:extLst>
              <a:ext uri="{FF2B5EF4-FFF2-40B4-BE49-F238E27FC236}">
                <a16:creationId xmlns:a16="http://schemas.microsoft.com/office/drawing/2014/main" id="{8A3F0BE9-9F0B-BA89-A7E6-9646174AB258}"/>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9300729" y="244186"/>
            <a:ext cx="314325" cy="314325"/>
          </a:xfrm>
          <a:prstGeom prst="rect">
            <a:avLst/>
          </a:prstGeom>
        </xdr:spPr>
      </xdr:pic>
    </xdr:grpSp>
    <xdr:clientData/>
  </xdr:twoCellAnchor>
  <xdr:twoCellAnchor>
    <xdr:from>
      <xdr:col>3</xdr:col>
      <xdr:colOff>89189</xdr:colOff>
      <xdr:row>0</xdr:row>
      <xdr:rowOff>101309</xdr:rowOff>
    </xdr:from>
    <xdr:to>
      <xdr:col>3</xdr:col>
      <xdr:colOff>1280789</xdr:colOff>
      <xdr:row>3</xdr:row>
      <xdr:rowOff>141809</xdr:rowOff>
    </xdr:to>
    <xdr:grpSp>
      <xdr:nvGrpSpPr>
        <xdr:cNvPr id="13" name="Group 12">
          <a:extLst>
            <a:ext uri="{FF2B5EF4-FFF2-40B4-BE49-F238E27FC236}">
              <a16:creationId xmlns:a16="http://schemas.microsoft.com/office/drawing/2014/main" id="{D5C5464C-DE6C-47B1-B093-0EECAB0DAB0D}"/>
            </a:ext>
          </a:extLst>
        </xdr:cNvPr>
        <xdr:cNvGrpSpPr/>
      </xdr:nvGrpSpPr>
      <xdr:grpSpPr>
        <a:xfrm>
          <a:off x="2022764" y="101309"/>
          <a:ext cx="1191600" cy="612000"/>
          <a:chOff x="5934075" y="276225"/>
          <a:chExt cx="1316981" cy="607289"/>
        </a:xfrm>
      </xdr:grpSpPr>
      <xdr:grpSp>
        <xdr:nvGrpSpPr>
          <xdr:cNvPr id="14" name="Group 13">
            <a:extLst>
              <a:ext uri="{FF2B5EF4-FFF2-40B4-BE49-F238E27FC236}">
                <a16:creationId xmlns:a16="http://schemas.microsoft.com/office/drawing/2014/main" id="{1F8550BF-D323-130B-586D-0DDF8A10EFAA}"/>
              </a:ext>
            </a:extLst>
          </xdr:cNvPr>
          <xdr:cNvGrpSpPr>
            <a:grpSpLocks/>
          </xdr:cNvGrpSpPr>
        </xdr:nvGrpSpPr>
        <xdr:grpSpPr>
          <a:xfrm>
            <a:off x="5934075" y="276225"/>
            <a:ext cx="1316981" cy="607289"/>
            <a:chOff x="647368" y="981075"/>
            <a:chExt cx="1619915" cy="789528"/>
          </a:xfrm>
        </xdr:grpSpPr>
        <xdr:sp macro="" textlink="">
          <xdr:nvSpPr>
            <xdr:cNvPr id="16" name="TextBox 15">
              <a:extLst>
                <a:ext uri="{FF2B5EF4-FFF2-40B4-BE49-F238E27FC236}">
                  <a16:creationId xmlns:a16="http://schemas.microsoft.com/office/drawing/2014/main" id="{BD919507-50F5-8B04-E8CB-3AF849C4D928}"/>
                </a:ext>
              </a:extLst>
            </xdr:cNvPr>
            <xdr:cNvSpPr txBox="1"/>
          </xdr:nvSpPr>
          <xdr:spPr>
            <a:xfrm>
              <a:off x="647368" y="1587723"/>
              <a:ext cx="1619915" cy="1828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800" b="1">
                  <a:solidFill>
                    <a:schemeClr val="bg1"/>
                  </a:solidFill>
                  <a:latin typeface="Univers for KPMG" panose="020B0603020202020204" pitchFamily="34" charset="0"/>
                </a:rPr>
                <a:t>MEV</a:t>
              </a:r>
            </a:p>
          </xdr:txBody>
        </xdr:sp>
        <xdr:sp macro="" textlink="">
          <xdr:nvSpPr>
            <xdr:cNvPr id="17" name="Rounded Rectangle 32">
              <a:extLst>
                <a:ext uri="{FF2B5EF4-FFF2-40B4-BE49-F238E27FC236}">
                  <a16:creationId xmlns:a16="http://schemas.microsoft.com/office/drawing/2014/main" id="{CCC0DF6B-5633-C1C3-DE89-22F4DA98BD60}"/>
                </a:ext>
              </a:extLst>
            </xdr:cNvPr>
            <xdr:cNvSpPr/>
          </xdr:nvSpPr>
          <xdr:spPr bwMode="auto">
            <a:xfrm>
              <a:off x="1190625" y="981075"/>
              <a:ext cx="548640" cy="548640"/>
            </a:xfrm>
            <a:prstGeom prst="roundRect">
              <a:avLst/>
            </a:prstGeom>
            <a:solidFill>
              <a:schemeClr val="accent2"/>
            </a:solidFill>
            <a:ln w="9525" cap="flat" cmpd="sng" algn="ctr">
              <a:noFill/>
              <a:prstDash val="solid"/>
              <a:round/>
              <a:headEnd type="none" w="med" len="med"/>
              <a:tailEnd type="none" w="med" len="med"/>
            </a:ln>
            <a:effectLst>
              <a:outerShdw blurRad="107950" dist="12700" dir="5400000" algn="ctr">
                <a:srgbClr val="000000"/>
              </a:outerShdw>
            </a:effectLst>
            <a:scene3d>
              <a:camera prst="orthographicFront">
                <a:rot lat="0" lon="0" rev="0"/>
              </a:camera>
              <a:lightRig rig="soft" dir="t">
                <a:rot lat="0" lon="0" rev="0"/>
              </a:lightRig>
            </a:scene3d>
            <a:sp3d contourW="44450" prstMaterial="matte">
              <a:bevelT w="63500" h="63500" prst="artDeco"/>
              <a:contourClr>
                <a:srgbClr val="FFFFFF"/>
              </a:contourClr>
            </a:sp3d>
          </xdr:spPr>
          <xdr:txBody>
            <a:bodyPr vert="horz" wrap="square" lIns="0" tIns="0" rIns="0" bIns="0" numCol="1" rtlCol="0" anchor="t" anchorCtr="0" compatLnSpc="1">
              <a:prstTxWarp prst="textNoShape">
                <a:avLst/>
              </a:prstTxWarp>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231775" indent="-231775" algn="ctr"/>
              <a:endParaRPr lang="en-US" sz="1800" b="1">
                <a:solidFill>
                  <a:srgbClr val="FFFFFF"/>
                </a:solidFill>
                <a:latin typeface="Univers 57 Condensed" pitchFamily="2" charset="0"/>
                <a:cs typeface="Arial"/>
              </a:endParaRPr>
            </a:p>
          </xdr:txBody>
        </xdr:sp>
      </xdr:grpSp>
      <xdr:pic>
        <xdr:nvPicPr>
          <xdr:cNvPr id="15" name="Graphic 10" descr="Downward trend graph with solid fill">
            <a:hlinkClick xmlns:r="http://schemas.openxmlformats.org/officeDocument/2006/relationships" r:id="rId5"/>
            <a:extLst>
              <a:ext uri="{FF2B5EF4-FFF2-40B4-BE49-F238E27FC236}">
                <a16:creationId xmlns:a16="http://schemas.microsoft.com/office/drawing/2014/main" id="{3F9A8626-2D6E-09A4-D1F7-2911234959FB}"/>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6429375" y="304800"/>
            <a:ext cx="323850" cy="323850"/>
          </a:xfrm>
          <a:prstGeom prst="rect">
            <a:avLst/>
          </a:prstGeom>
        </xdr:spPr>
      </xdr:pic>
    </xdr:grpSp>
    <xdr:clientData/>
  </xdr:twoCellAnchor>
  <xdr:twoCellAnchor>
    <xdr:from>
      <xdr:col>1</xdr:col>
      <xdr:colOff>600075</xdr:colOff>
      <xdr:row>0</xdr:row>
      <xdr:rowOff>76200</xdr:rowOff>
    </xdr:from>
    <xdr:to>
      <xdr:col>3</xdr:col>
      <xdr:colOff>467700</xdr:colOff>
      <xdr:row>3</xdr:row>
      <xdr:rowOff>115704</xdr:rowOff>
    </xdr:to>
    <xdr:grpSp>
      <xdr:nvGrpSpPr>
        <xdr:cNvPr id="3" name="Group 19">
          <a:hlinkClick xmlns:r="http://schemas.openxmlformats.org/officeDocument/2006/relationships" r:id="rId8"/>
          <a:extLst>
            <a:ext uri="{FF2B5EF4-FFF2-40B4-BE49-F238E27FC236}">
              <a16:creationId xmlns:a16="http://schemas.microsoft.com/office/drawing/2014/main" id="{6615151E-050C-4B1C-9159-6C7CA4506092}"/>
            </a:ext>
          </a:extLst>
        </xdr:cNvPr>
        <xdr:cNvGrpSpPr/>
      </xdr:nvGrpSpPr>
      <xdr:grpSpPr>
        <a:xfrm>
          <a:off x="1209675" y="76200"/>
          <a:ext cx="1191600" cy="611004"/>
          <a:chOff x="323851" y="104775"/>
          <a:chExt cx="1192276" cy="611004"/>
        </a:xfrm>
      </xdr:grpSpPr>
      <xdr:grpSp>
        <xdr:nvGrpSpPr>
          <xdr:cNvPr id="4" name="Group 20">
            <a:hlinkClick xmlns:r="http://schemas.openxmlformats.org/officeDocument/2006/relationships" r:id="rId9"/>
            <a:extLst>
              <a:ext uri="{FF2B5EF4-FFF2-40B4-BE49-F238E27FC236}">
                <a16:creationId xmlns:a16="http://schemas.microsoft.com/office/drawing/2014/main" id="{1B080913-F323-92C5-57EE-8B40D2705F6B}"/>
              </a:ext>
            </a:extLst>
          </xdr:cNvPr>
          <xdr:cNvGrpSpPr>
            <a:grpSpLocks/>
          </xdr:cNvGrpSpPr>
        </xdr:nvGrpSpPr>
        <xdr:grpSpPr>
          <a:xfrm>
            <a:off x="323851" y="114300"/>
            <a:ext cx="1192276" cy="601479"/>
            <a:chOff x="1016275" y="85726"/>
            <a:chExt cx="1472650" cy="770477"/>
          </a:xfrm>
        </xdr:grpSpPr>
        <xdr:sp macro="" textlink="">
          <xdr:nvSpPr>
            <xdr:cNvPr id="5" name="Rounded Rectangle 27">
              <a:extLst>
                <a:ext uri="{FF2B5EF4-FFF2-40B4-BE49-F238E27FC236}">
                  <a16:creationId xmlns:a16="http://schemas.microsoft.com/office/drawing/2014/main" id="{2948225C-5AE2-503F-8B6F-DF3B3DE64981}"/>
                </a:ext>
              </a:extLst>
            </xdr:cNvPr>
            <xdr:cNvSpPr/>
          </xdr:nvSpPr>
          <xdr:spPr bwMode="auto">
            <a:xfrm>
              <a:off x="1478280" y="85726"/>
              <a:ext cx="548640" cy="548638"/>
            </a:xfrm>
            <a:prstGeom prst="roundRect">
              <a:avLst/>
            </a:prstGeom>
            <a:solidFill>
              <a:schemeClr val="accent2"/>
            </a:solidFill>
            <a:ln w="9525" cap="flat" cmpd="sng" algn="ctr">
              <a:noFill/>
              <a:prstDash val="solid"/>
              <a:round/>
              <a:headEnd type="none" w="med" len="med"/>
              <a:tailEnd type="none" w="med" len="med"/>
            </a:ln>
            <a:effectLst>
              <a:outerShdw blurRad="107950" dist="12700" dir="5400000" algn="ctr">
                <a:srgbClr val="000000"/>
              </a:outerShdw>
            </a:effectLst>
            <a:scene3d>
              <a:camera prst="orthographicFront">
                <a:rot lat="0" lon="0" rev="0"/>
              </a:camera>
              <a:lightRig rig="soft" dir="t">
                <a:rot lat="0" lon="0" rev="0"/>
              </a:lightRig>
            </a:scene3d>
            <a:sp3d contourW="44450" prstMaterial="matte">
              <a:bevelT w="63500" h="63500" prst="artDeco"/>
              <a:contourClr>
                <a:srgbClr val="FFFFFF"/>
              </a:contourClr>
            </a:sp3d>
          </xdr:spPr>
          <xdr:txBody>
            <a:bodyPr vert="horz" wrap="square" lIns="0" tIns="0" rIns="0" bIns="0" numCol="1" rtlCol="0" anchor="t" anchorCtr="0" compatLnSpc="1">
              <a:prstTxWarp prst="textNoShape">
                <a:avLst/>
              </a:prstTxWarp>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231775" indent="-231775" algn="ctr"/>
              <a:endParaRPr lang="en-US" sz="1800" b="1">
                <a:solidFill>
                  <a:srgbClr val="FFFFFF"/>
                </a:solidFill>
                <a:latin typeface="Univers 57 Condensed" pitchFamily="2" charset="0"/>
                <a:cs typeface="Arial"/>
              </a:endParaRPr>
            </a:p>
          </xdr:txBody>
        </xdr:sp>
        <xdr:sp macro="" textlink="">
          <xdr:nvSpPr>
            <xdr:cNvPr id="6" name="TextBox 23">
              <a:extLst>
                <a:ext uri="{FF2B5EF4-FFF2-40B4-BE49-F238E27FC236}">
                  <a16:creationId xmlns:a16="http://schemas.microsoft.com/office/drawing/2014/main" id="{A3F3D0E1-2916-8CCA-E5A8-7AB8660940F9}"/>
                </a:ext>
              </a:extLst>
            </xdr:cNvPr>
            <xdr:cNvSpPr txBox="1"/>
          </xdr:nvSpPr>
          <xdr:spPr>
            <a:xfrm>
              <a:off x="1016275" y="673323"/>
              <a:ext cx="1472650" cy="1828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800" b="1">
                  <a:solidFill>
                    <a:schemeClr val="bg1"/>
                  </a:solidFill>
                  <a:latin typeface="Calibri" panose="020F0502020204030204" pitchFamily="34" charset="0"/>
                  <a:ea typeface="Calibri" panose="020F0502020204030204" pitchFamily="34" charset="0"/>
                  <a:cs typeface="Calibri" panose="020F0502020204030204" pitchFamily="34" charset="0"/>
                </a:rPr>
                <a:t>Home</a:t>
              </a:r>
            </a:p>
          </xdr:txBody>
        </xdr:sp>
      </xdr:grpSp>
      <xdr:pic>
        <xdr:nvPicPr>
          <xdr:cNvPr id="7" name="Graphic 21" descr="Home outline">
            <a:extLst>
              <a:ext uri="{FF2B5EF4-FFF2-40B4-BE49-F238E27FC236}">
                <a16:creationId xmlns:a16="http://schemas.microsoft.com/office/drawing/2014/main" id="{77935450-EE00-92B6-15E1-98E671D1F1BA}"/>
              </a:ext>
            </a:extLst>
          </xdr:cNvPr>
          <xdr:cNvPicPr>
            <a:picLocks noChangeAspect="1"/>
          </xdr:cNvPicPr>
        </xdr:nvPicPr>
        <xdr:blipFill>
          <a:blip xmlns:r="http://schemas.openxmlformats.org/officeDocument/2006/relationships" r:embed="rId10">
            <a:extLst>
              <a:ext uri="{96DAC541-7B7A-43D3-8B79-37D633B846F1}">
                <asvg:svgBlip xmlns:asvg="http://schemas.microsoft.com/office/drawing/2016/SVG/main" r:embed="rId11"/>
              </a:ext>
            </a:extLst>
          </a:blip>
          <a:stretch>
            <a:fillRect/>
          </a:stretch>
        </xdr:blipFill>
        <xdr:spPr>
          <a:xfrm>
            <a:off x="723900" y="104775"/>
            <a:ext cx="390525" cy="390525"/>
          </a:xfrm>
          <a:prstGeom prst="rect">
            <a:avLst/>
          </a:prstGeom>
        </xdr:spPr>
      </xdr:pic>
    </xdr:grpSp>
    <xdr:clientData/>
  </xdr:twoCellAnchor>
  <xdr:twoCellAnchor editAs="oneCell">
    <xdr:from>
      <xdr:col>5</xdr:col>
      <xdr:colOff>437926</xdr:colOff>
      <xdr:row>6</xdr:row>
      <xdr:rowOff>16423</xdr:rowOff>
    </xdr:from>
    <xdr:to>
      <xdr:col>14</xdr:col>
      <xdr:colOff>229908</xdr:colOff>
      <xdr:row>17</xdr:row>
      <xdr:rowOff>75832</xdr:rowOff>
    </xdr:to>
    <xdr:pic>
      <xdr:nvPicPr>
        <xdr:cNvPr id="18" name="Picture 17">
          <a:extLst>
            <a:ext uri="{FF2B5EF4-FFF2-40B4-BE49-F238E27FC236}">
              <a16:creationId xmlns:a16="http://schemas.microsoft.com/office/drawing/2014/main" id="{D95D542F-843B-E736-B95A-83839327EE3C}"/>
            </a:ext>
          </a:extLst>
        </xdr:cNvPr>
        <xdr:cNvPicPr>
          <a:picLocks noChangeAspect="1"/>
        </xdr:cNvPicPr>
      </xdr:nvPicPr>
      <xdr:blipFill>
        <a:blip xmlns:r="http://schemas.openxmlformats.org/officeDocument/2006/relationships" r:embed="rId12"/>
        <a:stretch>
          <a:fillRect/>
        </a:stretch>
      </xdr:blipFill>
      <xdr:spPr>
        <a:xfrm>
          <a:off x="4767969" y="947026"/>
          <a:ext cx="5260646" cy="2106737"/>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absolute">
    <xdr:from>
      <xdr:col>0</xdr:col>
      <xdr:colOff>0</xdr:colOff>
      <xdr:row>0</xdr:row>
      <xdr:rowOff>0</xdr:rowOff>
    </xdr:from>
    <xdr:to>
      <xdr:col>20</xdr:col>
      <xdr:colOff>512989</xdr:colOff>
      <xdr:row>4</xdr:row>
      <xdr:rowOff>16967</xdr:rowOff>
    </xdr:to>
    <xdr:sp macro="" textlink="">
      <xdr:nvSpPr>
        <xdr:cNvPr id="2" name="Rectangle 1">
          <a:extLst>
            <a:ext uri="{FF2B5EF4-FFF2-40B4-BE49-F238E27FC236}">
              <a16:creationId xmlns:a16="http://schemas.microsoft.com/office/drawing/2014/main" id="{5F9E124B-44C2-46AB-9FD0-6D6C4D62E710}"/>
            </a:ext>
          </a:extLst>
        </xdr:cNvPr>
        <xdr:cNvSpPr>
          <a:spLocks/>
        </xdr:cNvSpPr>
      </xdr:nvSpPr>
      <xdr:spPr>
        <a:xfrm>
          <a:off x="0" y="0"/>
          <a:ext cx="14277974" cy="781050"/>
        </a:xfrm>
        <a:prstGeom prst="rect">
          <a:avLst/>
        </a:prstGeom>
        <a:solidFill>
          <a:srgbClr val="0C769E"/>
        </a:solidFill>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algn="l"/>
          <a:endParaRPr lang="en-US" sz="1100"/>
        </a:p>
      </xdr:txBody>
    </xdr:sp>
    <xdr:clientData/>
  </xdr:twoCellAnchor>
  <xdr:twoCellAnchor>
    <xdr:from>
      <xdr:col>1</xdr:col>
      <xdr:colOff>990600</xdr:colOff>
      <xdr:row>0</xdr:row>
      <xdr:rowOff>104775</xdr:rowOff>
    </xdr:from>
    <xdr:to>
      <xdr:col>3</xdr:col>
      <xdr:colOff>193031</xdr:colOff>
      <xdr:row>3</xdr:row>
      <xdr:rowOff>140564</xdr:rowOff>
    </xdr:to>
    <xdr:grpSp>
      <xdr:nvGrpSpPr>
        <xdr:cNvPr id="3" name="Group 2">
          <a:extLst>
            <a:ext uri="{FF2B5EF4-FFF2-40B4-BE49-F238E27FC236}">
              <a16:creationId xmlns:a16="http://schemas.microsoft.com/office/drawing/2014/main" id="{A9AA3D10-25AF-48F8-8CF0-65F2B63A4A93}"/>
            </a:ext>
          </a:extLst>
        </xdr:cNvPr>
        <xdr:cNvGrpSpPr/>
      </xdr:nvGrpSpPr>
      <xdr:grpSpPr>
        <a:xfrm>
          <a:off x="1602921" y="104775"/>
          <a:ext cx="1321258" cy="618952"/>
          <a:chOff x="5934075" y="276225"/>
          <a:chExt cx="1316981" cy="607289"/>
        </a:xfrm>
      </xdr:grpSpPr>
      <xdr:grpSp>
        <xdr:nvGrpSpPr>
          <xdr:cNvPr id="4" name="Group 3">
            <a:extLst>
              <a:ext uri="{FF2B5EF4-FFF2-40B4-BE49-F238E27FC236}">
                <a16:creationId xmlns:a16="http://schemas.microsoft.com/office/drawing/2014/main" id="{CDA8D690-F47B-4E6E-3877-DA0D325EF569}"/>
              </a:ext>
            </a:extLst>
          </xdr:cNvPr>
          <xdr:cNvGrpSpPr>
            <a:grpSpLocks/>
          </xdr:cNvGrpSpPr>
        </xdr:nvGrpSpPr>
        <xdr:grpSpPr>
          <a:xfrm>
            <a:off x="5934075" y="276225"/>
            <a:ext cx="1316981" cy="607289"/>
            <a:chOff x="647368" y="981075"/>
            <a:chExt cx="1619915" cy="789528"/>
          </a:xfrm>
        </xdr:grpSpPr>
        <xdr:sp macro="" textlink="">
          <xdr:nvSpPr>
            <xdr:cNvPr id="6" name="TextBox 5">
              <a:extLst>
                <a:ext uri="{FF2B5EF4-FFF2-40B4-BE49-F238E27FC236}">
                  <a16:creationId xmlns:a16="http://schemas.microsoft.com/office/drawing/2014/main" id="{743E2FFA-E661-1D46-A077-1C2DCD644B6F}"/>
                </a:ext>
              </a:extLst>
            </xdr:cNvPr>
            <xdr:cNvSpPr txBox="1"/>
          </xdr:nvSpPr>
          <xdr:spPr>
            <a:xfrm>
              <a:off x="647368" y="1587723"/>
              <a:ext cx="1619915" cy="1828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800" b="1">
                  <a:solidFill>
                    <a:schemeClr val="bg1"/>
                  </a:solidFill>
                  <a:latin typeface="Calibri" panose="020F0502020204030204" pitchFamily="34" charset="0"/>
                  <a:ea typeface="Calibri" panose="020F0502020204030204" pitchFamily="34" charset="0"/>
                  <a:cs typeface="Calibri" panose="020F0502020204030204" pitchFamily="34" charset="0"/>
                </a:rPr>
                <a:t>MEV</a:t>
              </a:r>
            </a:p>
          </xdr:txBody>
        </xdr:sp>
        <xdr:sp macro="" textlink="">
          <xdr:nvSpPr>
            <xdr:cNvPr id="7" name="Rounded Rectangle 32">
              <a:extLst>
                <a:ext uri="{FF2B5EF4-FFF2-40B4-BE49-F238E27FC236}">
                  <a16:creationId xmlns:a16="http://schemas.microsoft.com/office/drawing/2014/main" id="{3877221C-8B0E-4B96-D241-95E257E46EC3}"/>
                </a:ext>
              </a:extLst>
            </xdr:cNvPr>
            <xdr:cNvSpPr/>
          </xdr:nvSpPr>
          <xdr:spPr bwMode="auto">
            <a:xfrm>
              <a:off x="1190625" y="981075"/>
              <a:ext cx="548640" cy="548640"/>
            </a:xfrm>
            <a:prstGeom prst="roundRect">
              <a:avLst/>
            </a:prstGeom>
            <a:solidFill>
              <a:schemeClr val="accent2"/>
            </a:solidFill>
            <a:ln w="9525" cap="flat" cmpd="sng" algn="ctr">
              <a:noFill/>
              <a:prstDash val="solid"/>
              <a:round/>
              <a:headEnd type="none" w="med" len="med"/>
              <a:tailEnd type="none" w="med" len="med"/>
            </a:ln>
            <a:effectLst>
              <a:outerShdw blurRad="107950" dist="12700" dir="5400000" algn="ctr">
                <a:srgbClr val="000000"/>
              </a:outerShdw>
            </a:effectLst>
            <a:scene3d>
              <a:camera prst="orthographicFront">
                <a:rot lat="0" lon="0" rev="0"/>
              </a:camera>
              <a:lightRig rig="soft" dir="t">
                <a:rot lat="0" lon="0" rev="0"/>
              </a:lightRig>
            </a:scene3d>
            <a:sp3d contourW="44450" prstMaterial="matte">
              <a:bevelT w="63500" h="63500" prst="artDeco"/>
              <a:contourClr>
                <a:srgbClr val="FFFFFF"/>
              </a:contourClr>
            </a:sp3d>
          </xdr:spPr>
          <xdr:txBody>
            <a:bodyPr vert="horz" wrap="square" lIns="0" tIns="0" rIns="0" bIns="0" numCol="1" rtlCol="0" anchor="t" anchorCtr="0" compatLnSpc="1">
              <a:prstTxWarp prst="textNoShape">
                <a:avLst/>
              </a:prstTxWarp>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231775" indent="-231775" algn="ctr"/>
              <a:endParaRPr lang="en-US" sz="1800" b="1">
                <a:solidFill>
                  <a:srgbClr val="FFFFFF"/>
                </a:solidFill>
                <a:latin typeface="Univers 57 Condensed" pitchFamily="2" charset="0"/>
                <a:cs typeface="Arial"/>
              </a:endParaRPr>
            </a:p>
          </xdr:txBody>
        </xdr:sp>
      </xdr:grpSp>
      <xdr:pic>
        <xdr:nvPicPr>
          <xdr:cNvPr id="5" name="Graphic 10" descr="Downward trend graph with solid fill">
            <a:hlinkClick xmlns:r="http://schemas.openxmlformats.org/officeDocument/2006/relationships" r:id="rId1"/>
            <a:extLst>
              <a:ext uri="{FF2B5EF4-FFF2-40B4-BE49-F238E27FC236}">
                <a16:creationId xmlns:a16="http://schemas.microsoft.com/office/drawing/2014/main" id="{F7C9C9F3-9ACA-8631-B6B9-E8D0F4186481}"/>
              </a:ext>
            </a:extLst>
          </xdr:cNvPr>
          <xdr:cNvPicPr>
            <a:picLocks noChangeAspect="1"/>
          </xdr:cNvPicPr>
        </xdr:nvPicPr>
        <xdr:blipFill>
          <a:blip xmlns:r="http://schemas.openxmlformats.org/officeDocument/2006/relationships" r:embed="rId2">
            <a:extLst>
              <a:ext uri="{96DAC541-7B7A-43D3-8B79-37D633B846F1}">
                <asvg:svgBlip xmlns:asvg="http://schemas.microsoft.com/office/drawing/2016/SVG/main" r:embed="rId3"/>
              </a:ext>
            </a:extLst>
          </a:blip>
          <a:stretch>
            <a:fillRect/>
          </a:stretch>
        </xdr:blipFill>
        <xdr:spPr>
          <a:xfrm>
            <a:off x="6429375" y="304800"/>
            <a:ext cx="323850" cy="323850"/>
          </a:xfrm>
          <a:prstGeom prst="rect">
            <a:avLst/>
          </a:prstGeom>
        </xdr:spPr>
      </xdr:pic>
    </xdr:grpSp>
    <xdr:clientData/>
  </xdr:twoCellAnchor>
  <xdr:twoCellAnchor editAs="absolute">
    <xdr:from>
      <xdr:col>3</xdr:col>
      <xdr:colOff>0</xdr:colOff>
      <xdr:row>0</xdr:row>
      <xdr:rowOff>152400</xdr:rowOff>
    </xdr:from>
    <xdr:to>
      <xdr:col>5</xdr:col>
      <xdr:colOff>60960</xdr:colOff>
      <xdr:row>2</xdr:row>
      <xdr:rowOff>167400</xdr:rowOff>
    </xdr:to>
    <xdr:sp macro="" textlink="">
      <xdr:nvSpPr>
        <xdr:cNvPr id="8" name="Arrow: Right 7">
          <a:hlinkClick xmlns:r="http://schemas.openxmlformats.org/officeDocument/2006/relationships" r:id="rId1"/>
          <a:extLst>
            <a:ext uri="{FF2B5EF4-FFF2-40B4-BE49-F238E27FC236}">
              <a16:creationId xmlns:a16="http://schemas.microsoft.com/office/drawing/2014/main" id="{CA6BB5A1-B3D0-4E16-BB39-885E7552BC29}"/>
            </a:ext>
          </a:extLst>
        </xdr:cNvPr>
        <xdr:cNvSpPr/>
      </xdr:nvSpPr>
      <xdr:spPr>
        <a:xfrm>
          <a:off x="2724150" y="152400"/>
          <a:ext cx="1280160" cy="396000"/>
        </a:xfrm>
        <a:prstGeom prst="rightArrow">
          <a:avLst/>
        </a:prstGeom>
        <a:solidFill>
          <a:schemeClr val="accent6"/>
        </a:solidFill>
        <a:ln>
          <a:noFill/>
        </a:ln>
        <a:effectLst>
          <a:outerShdw blurRad="107950" dist="12700" dir="5400000" algn="ctr">
            <a:srgbClr val="000000"/>
          </a:outerShdw>
        </a:effectLst>
        <a:scene3d>
          <a:camera prst="orthographicFront">
            <a:rot lat="0" lon="0" rev="0"/>
          </a:camera>
          <a:lightRig rig="soft" dir="t">
            <a:rot lat="0" lon="0" rev="0"/>
          </a:lightRig>
        </a:scene3d>
        <a:sp3d contourW="44450" prstMaterial="matte">
          <a:bevelT w="63500" h="63500" prst="artDeco"/>
          <a:contourClr>
            <a:srgbClr val="FFFFFF"/>
          </a:contourClr>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800" b="1">
              <a:latin typeface="Calibri" panose="020F0502020204030204" pitchFamily="34" charset="0"/>
              <a:ea typeface="Calibri" panose="020F0502020204030204" pitchFamily="34" charset="0"/>
              <a:cs typeface="Calibri" panose="020F0502020204030204" pitchFamily="34" charset="0"/>
            </a:rPr>
            <a:t>MEV DATA</a:t>
          </a:r>
          <a:endParaRPr lang="en-US" sz="800" b="1" baseline="0">
            <a:latin typeface="Calibri" panose="020F0502020204030204" pitchFamily="34" charset="0"/>
            <a:ea typeface="Calibri" panose="020F0502020204030204" pitchFamily="34" charset="0"/>
            <a:cs typeface="Calibri" panose="020F0502020204030204" pitchFamily="34" charset="0"/>
          </a:endParaRPr>
        </a:p>
      </xdr:txBody>
    </xdr:sp>
    <xdr:clientData/>
  </xdr:twoCellAnchor>
  <xdr:twoCellAnchor editAs="absolute">
    <xdr:from>
      <xdr:col>7</xdr:col>
      <xdr:colOff>385762</xdr:colOff>
      <xdr:row>0</xdr:row>
      <xdr:rowOff>152400</xdr:rowOff>
    </xdr:from>
    <xdr:to>
      <xdr:col>9</xdr:col>
      <xdr:colOff>446722</xdr:colOff>
      <xdr:row>2</xdr:row>
      <xdr:rowOff>167400</xdr:rowOff>
    </xdr:to>
    <xdr:sp macro="" textlink="">
      <xdr:nvSpPr>
        <xdr:cNvPr id="10" name="Arrow: Right 9">
          <a:hlinkClick xmlns:r="http://schemas.openxmlformats.org/officeDocument/2006/relationships" r:id="rId4"/>
          <a:extLst>
            <a:ext uri="{FF2B5EF4-FFF2-40B4-BE49-F238E27FC236}">
              <a16:creationId xmlns:a16="http://schemas.microsoft.com/office/drawing/2014/main" id="{DD7DA1D0-1E9B-4B5F-BC47-57E2D18BB40E}"/>
            </a:ext>
          </a:extLst>
        </xdr:cNvPr>
        <xdr:cNvSpPr/>
      </xdr:nvSpPr>
      <xdr:spPr>
        <a:xfrm>
          <a:off x="5548312" y="152400"/>
          <a:ext cx="1280160" cy="396000"/>
        </a:xfrm>
        <a:prstGeom prst="rightArrow">
          <a:avLst/>
        </a:prstGeom>
        <a:solidFill>
          <a:schemeClr val="accent1"/>
        </a:solidFill>
        <a:ln>
          <a:noFill/>
        </a:ln>
        <a:effectLst>
          <a:outerShdw blurRad="107950" dist="12700" dir="5400000" algn="ctr">
            <a:srgbClr val="000000"/>
          </a:outerShdw>
        </a:effectLst>
        <a:scene3d>
          <a:camera prst="orthographicFront">
            <a:rot lat="0" lon="0" rev="0"/>
          </a:camera>
          <a:lightRig rig="soft" dir="t">
            <a:rot lat="0" lon="0" rev="0"/>
          </a:lightRig>
        </a:scene3d>
        <a:sp3d contourW="44450" prstMaterial="matte">
          <a:bevelT w="63500" h="63500" prst="artDeco"/>
          <a:contourClr>
            <a:srgbClr val="FFFFFF"/>
          </a:contourClr>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800" b="1">
              <a:latin typeface="Calibri" panose="020F0502020204030204" pitchFamily="34" charset="0"/>
              <a:ea typeface="Calibri" panose="020F0502020204030204" pitchFamily="34" charset="0"/>
              <a:cs typeface="Calibri" panose="020F0502020204030204" pitchFamily="34" charset="0"/>
            </a:rPr>
            <a:t>MEV SCENARIO</a:t>
          </a:r>
          <a:endParaRPr lang="en-US" sz="800" b="1" baseline="0">
            <a:latin typeface="Calibri" panose="020F0502020204030204" pitchFamily="34" charset="0"/>
            <a:ea typeface="Calibri" panose="020F0502020204030204" pitchFamily="34" charset="0"/>
            <a:cs typeface="Calibri" panose="020F0502020204030204" pitchFamily="34" charset="0"/>
          </a:endParaRPr>
        </a:p>
      </xdr:txBody>
    </xdr:sp>
    <xdr:clientData/>
  </xdr:twoCellAnchor>
  <xdr:twoCellAnchor editAs="absolute">
    <xdr:from>
      <xdr:col>9</xdr:col>
      <xdr:colOff>600075</xdr:colOff>
      <xdr:row>0</xdr:row>
      <xdr:rowOff>152400</xdr:rowOff>
    </xdr:from>
    <xdr:to>
      <xdr:col>12</xdr:col>
      <xdr:colOff>51435</xdr:colOff>
      <xdr:row>2</xdr:row>
      <xdr:rowOff>167400</xdr:rowOff>
    </xdr:to>
    <xdr:sp macro="" textlink="">
      <xdr:nvSpPr>
        <xdr:cNvPr id="11" name="Arrow: Right 10">
          <a:hlinkClick xmlns:r="http://schemas.openxmlformats.org/officeDocument/2006/relationships" r:id="rId5"/>
          <a:extLst>
            <a:ext uri="{FF2B5EF4-FFF2-40B4-BE49-F238E27FC236}">
              <a16:creationId xmlns:a16="http://schemas.microsoft.com/office/drawing/2014/main" id="{7E923C90-6813-4659-A6DA-1DA0278C8C51}"/>
            </a:ext>
          </a:extLst>
        </xdr:cNvPr>
        <xdr:cNvSpPr/>
      </xdr:nvSpPr>
      <xdr:spPr>
        <a:xfrm>
          <a:off x="6981825" y="152400"/>
          <a:ext cx="1280160" cy="396000"/>
        </a:xfrm>
        <a:prstGeom prst="rightArrow">
          <a:avLst/>
        </a:prstGeom>
        <a:solidFill>
          <a:schemeClr val="accent1"/>
        </a:solidFill>
        <a:ln>
          <a:noFill/>
        </a:ln>
        <a:effectLst>
          <a:outerShdw blurRad="107950" dist="12700" dir="5400000" algn="ctr">
            <a:srgbClr val="000000"/>
          </a:outerShdw>
        </a:effectLst>
        <a:scene3d>
          <a:camera prst="orthographicFront">
            <a:rot lat="0" lon="0" rev="0"/>
          </a:camera>
          <a:lightRig rig="soft" dir="t">
            <a:rot lat="0" lon="0" rev="0"/>
          </a:lightRig>
        </a:scene3d>
        <a:sp3d contourW="44450" prstMaterial="matte">
          <a:bevelT w="63500" h="63500" prst="artDeco"/>
          <a:contourClr>
            <a:srgbClr val="FFFFFF"/>
          </a:contourClr>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800" b="1">
              <a:latin typeface="Calibri" panose="020F0502020204030204" pitchFamily="34" charset="0"/>
              <a:ea typeface="Calibri" panose="020F0502020204030204" pitchFamily="34" charset="0"/>
              <a:cs typeface="Calibri" panose="020F0502020204030204" pitchFamily="34" charset="0"/>
            </a:rPr>
            <a:t>MEV INDEX</a:t>
          </a:r>
          <a:endParaRPr lang="en-US" sz="800" b="1" baseline="0">
            <a:latin typeface="Calibri" panose="020F0502020204030204" pitchFamily="34" charset="0"/>
            <a:ea typeface="Calibri" panose="020F0502020204030204" pitchFamily="34" charset="0"/>
            <a:cs typeface="Calibri" panose="020F0502020204030204" pitchFamily="34" charset="0"/>
          </a:endParaRPr>
        </a:p>
      </xdr:txBody>
    </xdr:sp>
    <xdr:clientData/>
  </xdr:twoCellAnchor>
  <xdr:twoCellAnchor>
    <xdr:from>
      <xdr:col>0</xdr:col>
      <xdr:colOff>581025</xdr:colOff>
      <xdr:row>0</xdr:row>
      <xdr:rowOff>104775</xdr:rowOff>
    </xdr:from>
    <xdr:to>
      <xdr:col>1</xdr:col>
      <xdr:colOff>1163701</xdr:colOff>
      <xdr:row>3</xdr:row>
      <xdr:rowOff>144279</xdr:rowOff>
    </xdr:to>
    <xdr:grpSp>
      <xdr:nvGrpSpPr>
        <xdr:cNvPr id="12" name="Group 11">
          <a:hlinkClick xmlns:r="http://schemas.openxmlformats.org/officeDocument/2006/relationships" r:id="rId6"/>
          <a:extLst>
            <a:ext uri="{FF2B5EF4-FFF2-40B4-BE49-F238E27FC236}">
              <a16:creationId xmlns:a16="http://schemas.microsoft.com/office/drawing/2014/main" id="{10F2C23C-0B0A-4D96-97E0-460CEF9EA3D0}"/>
            </a:ext>
          </a:extLst>
        </xdr:cNvPr>
        <xdr:cNvGrpSpPr/>
      </xdr:nvGrpSpPr>
      <xdr:grpSpPr>
        <a:xfrm>
          <a:off x="581025" y="104775"/>
          <a:ext cx="1194997" cy="622667"/>
          <a:chOff x="323851" y="104775"/>
          <a:chExt cx="1192276" cy="611004"/>
        </a:xfrm>
      </xdr:grpSpPr>
      <xdr:grpSp>
        <xdr:nvGrpSpPr>
          <xdr:cNvPr id="13" name="Group 12">
            <a:hlinkClick xmlns:r="http://schemas.openxmlformats.org/officeDocument/2006/relationships" r:id="rId7"/>
            <a:extLst>
              <a:ext uri="{FF2B5EF4-FFF2-40B4-BE49-F238E27FC236}">
                <a16:creationId xmlns:a16="http://schemas.microsoft.com/office/drawing/2014/main" id="{AC3ED0BE-8FAA-CB58-C27C-0381D9C8BD6C}"/>
              </a:ext>
            </a:extLst>
          </xdr:cNvPr>
          <xdr:cNvGrpSpPr>
            <a:grpSpLocks/>
          </xdr:cNvGrpSpPr>
        </xdr:nvGrpSpPr>
        <xdr:grpSpPr>
          <a:xfrm>
            <a:off x="323851" y="114300"/>
            <a:ext cx="1192276" cy="601479"/>
            <a:chOff x="1016275" y="85726"/>
            <a:chExt cx="1472650" cy="770477"/>
          </a:xfrm>
        </xdr:grpSpPr>
        <xdr:sp macro="" textlink="">
          <xdr:nvSpPr>
            <xdr:cNvPr id="15" name="Rounded Rectangle 27">
              <a:extLst>
                <a:ext uri="{FF2B5EF4-FFF2-40B4-BE49-F238E27FC236}">
                  <a16:creationId xmlns:a16="http://schemas.microsoft.com/office/drawing/2014/main" id="{34D099A6-F34D-DE77-1920-7C8F8DCF7EC8}"/>
                </a:ext>
              </a:extLst>
            </xdr:cNvPr>
            <xdr:cNvSpPr/>
          </xdr:nvSpPr>
          <xdr:spPr bwMode="auto">
            <a:xfrm>
              <a:off x="1478280" y="85726"/>
              <a:ext cx="548640" cy="548638"/>
            </a:xfrm>
            <a:prstGeom prst="roundRect">
              <a:avLst/>
            </a:prstGeom>
            <a:solidFill>
              <a:schemeClr val="accent2"/>
            </a:solidFill>
            <a:ln w="9525" cap="flat" cmpd="sng" algn="ctr">
              <a:noFill/>
              <a:prstDash val="solid"/>
              <a:round/>
              <a:headEnd type="none" w="med" len="med"/>
              <a:tailEnd type="none" w="med" len="med"/>
            </a:ln>
            <a:effectLst>
              <a:outerShdw blurRad="107950" dist="12700" dir="5400000" algn="ctr">
                <a:srgbClr val="000000"/>
              </a:outerShdw>
            </a:effectLst>
            <a:scene3d>
              <a:camera prst="orthographicFront">
                <a:rot lat="0" lon="0" rev="0"/>
              </a:camera>
              <a:lightRig rig="soft" dir="t">
                <a:rot lat="0" lon="0" rev="0"/>
              </a:lightRig>
            </a:scene3d>
            <a:sp3d contourW="44450" prstMaterial="matte">
              <a:bevelT w="63500" h="63500" prst="artDeco"/>
              <a:contourClr>
                <a:srgbClr val="FFFFFF"/>
              </a:contourClr>
            </a:sp3d>
          </xdr:spPr>
          <xdr:txBody>
            <a:bodyPr vert="horz" wrap="square" lIns="0" tIns="0" rIns="0" bIns="0" numCol="1" rtlCol="0" anchor="t" anchorCtr="0" compatLnSpc="1">
              <a:prstTxWarp prst="textNoShape">
                <a:avLst/>
              </a:prstTxWarp>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231775" indent="-231775" algn="ctr"/>
              <a:endParaRPr lang="en-US" sz="1800" b="1">
                <a:solidFill>
                  <a:srgbClr val="FFFFFF"/>
                </a:solidFill>
                <a:latin typeface="Univers 57 Condensed" pitchFamily="2" charset="0"/>
                <a:cs typeface="Arial"/>
              </a:endParaRPr>
            </a:p>
          </xdr:txBody>
        </xdr:sp>
        <xdr:sp macro="" textlink="">
          <xdr:nvSpPr>
            <xdr:cNvPr id="16" name="TextBox 15">
              <a:extLst>
                <a:ext uri="{FF2B5EF4-FFF2-40B4-BE49-F238E27FC236}">
                  <a16:creationId xmlns:a16="http://schemas.microsoft.com/office/drawing/2014/main" id="{9F051DCA-F20E-2071-B6D2-50ADA30F29AA}"/>
                </a:ext>
              </a:extLst>
            </xdr:cNvPr>
            <xdr:cNvSpPr txBox="1"/>
          </xdr:nvSpPr>
          <xdr:spPr>
            <a:xfrm>
              <a:off x="1016275" y="673323"/>
              <a:ext cx="1472650" cy="1828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800" b="1">
                  <a:solidFill>
                    <a:schemeClr val="bg1"/>
                  </a:solidFill>
                  <a:latin typeface="Calibri" panose="020F0502020204030204" pitchFamily="34" charset="0"/>
                  <a:ea typeface="Calibri" panose="020F0502020204030204" pitchFamily="34" charset="0"/>
                  <a:cs typeface="Calibri" panose="020F0502020204030204" pitchFamily="34" charset="0"/>
                </a:rPr>
                <a:t>Home</a:t>
              </a:r>
            </a:p>
          </xdr:txBody>
        </xdr:sp>
      </xdr:grpSp>
      <xdr:pic>
        <xdr:nvPicPr>
          <xdr:cNvPr id="14" name="Graphic 13" descr="Home outline">
            <a:extLst>
              <a:ext uri="{FF2B5EF4-FFF2-40B4-BE49-F238E27FC236}">
                <a16:creationId xmlns:a16="http://schemas.microsoft.com/office/drawing/2014/main" id="{5ECAACFF-17ED-EC78-31B3-180CBF1D6A93}"/>
              </a:ext>
            </a:extLst>
          </xdr:cNvPr>
          <xdr:cNvPicPr>
            <a:picLocks noChangeAspect="1"/>
          </xdr:cNvPicPr>
        </xdr:nvPicPr>
        <xdr:blipFill>
          <a:blip xmlns:r="http://schemas.openxmlformats.org/officeDocument/2006/relationships" r:embed="rId8">
            <a:extLst>
              <a:ext uri="{96DAC541-7B7A-43D3-8B79-37D633B846F1}">
                <asvg:svgBlip xmlns:asvg="http://schemas.microsoft.com/office/drawing/2016/SVG/main" r:embed="rId9"/>
              </a:ext>
            </a:extLst>
          </a:blip>
          <a:stretch>
            <a:fillRect/>
          </a:stretch>
        </xdr:blipFill>
        <xdr:spPr>
          <a:xfrm>
            <a:off x="723900" y="104775"/>
            <a:ext cx="390525" cy="390525"/>
          </a:xfrm>
          <a:prstGeom prst="rect">
            <a:avLst/>
          </a:prstGeom>
        </xdr:spPr>
      </xdr:pic>
    </xdr:grpSp>
    <xdr:clientData/>
  </xdr:twoCellAnchor>
  <xdr:twoCellAnchor>
    <xdr:from>
      <xdr:col>12</xdr:col>
      <xdr:colOff>409575</xdr:colOff>
      <xdr:row>0</xdr:row>
      <xdr:rowOff>85725</xdr:rowOff>
    </xdr:from>
    <xdr:to>
      <xdr:col>14</xdr:col>
      <xdr:colOff>507356</xdr:colOff>
      <xdr:row>3</xdr:row>
      <xdr:rowOff>121513</xdr:rowOff>
    </xdr:to>
    <xdr:grpSp>
      <xdr:nvGrpSpPr>
        <xdr:cNvPr id="23" name="Group 16">
          <a:extLst>
            <a:ext uri="{FF2B5EF4-FFF2-40B4-BE49-F238E27FC236}">
              <a16:creationId xmlns:a16="http://schemas.microsoft.com/office/drawing/2014/main" id="{FD3F816D-FDAC-4C3A-BC34-96346FDF3032}"/>
            </a:ext>
          </a:extLst>
        </xdr:cNvPr>
        <xdr:cNvGrpSpPr/>
      </xdr:nvGrpSpPr>
      <xdr:grpSpPr>
        <a:xfrm>
          <a:off x="8651616" y="85725"/>
          <a:ext cx="1322424" cy="618951"/>
          <a:chOff x="8776854" y="197427"/>
          <a:chExt cx="1316981" cy="607288"/>
        </a:xfrm>
      </xdr:grpSpPr>
      <xdr:grpSp>
        <xdr:nvGrpSpPr>
          <xdr:cNvPr id="24" name="Group 17">
            <a:hlinkClick xmlns:r="http://schemas.openxmlformats.org/officeDocument/2006/relationships" r:id="rId10"/>
            <a:extLst>
              <a:ext uri="{FF2B5EF4-FFF2-40B4-BE49-F238E27FC236}">
                <a16:creationId xmlns:a16="http://schemas.microsoft.com/office/drawing/2014/main" id="{0D6C5755-8B14-1992-F59D-974C4001886D}"/>
              </a:ext>
            </a:extLst>
          </xdr:cNvPr>
          <xdr:cNvGrpSpPr>
            <a:grpSpLocks/>
          </xdr:cNvGrpSpPr>
        </xdr:nvGrpSpPr>
        <xdr:grpSpPr>
          <a:xfrm>
            <a:off x="8776854" y="197427"/>
            <a:ext cx="1316981" cy="607288"/>
            <a:chOff x="5655609" y="107836"/>
            <a:chExt cx="1316981" cy="607288"/>
          </a:xfrm>
        </xdr:grpSpPr>
        <xdr:sp macro="" textlink="">
          <xdr:nvSpPr>
            <xdr:cNvPr id="25" name="TextBox 19">
              <a:extLst>
                <a:ext uri="{FF2B5EF4-FFF2-40B4-BE49-F238E27FC236}">
                  <a16:creationId xmlns:a16="http://schemas.microsoft.com/office/drawing/2014/main" id="{29CB7AC9-ED2F-376D-3576-76DA186B79F0}"/>
                </a:ext>
              </a:extLst>
            </xdr:cNvPr>
            <xdr:cNvSpPr txBox="1"/>
          </xdr:nvSpPr>
          <xdr:spPr>
            <a:xfrm>
              <a:off x="5655609" y="574456"/>
              <a:ext cx="1316981" cy="14066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800" b="1">
                  <a:solidFill>
                    <a:schemeClr val="bg1"/>
                  </a:solidFill>
                  <a:latin typeface="Calibri" panose="020F0502020204030204" pitchFamily="34" charset="0"/>
                  <a:ea typeface="Calibri" panose="020F0502020204030204" pitchFamily="34" charset="0"/>
                  <a:cs typeface="Calibri" panose="020F0502020204030204" pitchFamily="34" charset="0"/>
                </a:rPr>
                <a:t>PIT PD</a:t>
              </a:r>
            </a:p>
          </xdr:txBody>
        </xdr:sp>
        <xdr:sp macro="" textlink="">
          <xdr:nvSpPr>
            <xdr:cNvPr id="26" name="Rounded Rectangle 32">
              <a:hlinkClick xmlns:r="http://schemas.openxmlformats.org/officeDocument/2006/relationships" r:id="rId11"/>
              <a:extLst>
                <a:ext uri="{FF2B5EF4-FFF2-40B4-BE49-F238E27FC236}">
                  <a16:creationId xmlns:a16="http://schemas.microsoft.com/office/drawing/2014/main" id="{02B82556-869A-8104-B54D-889B24122E1E}"/>
                </a:ext>
              </a:extLst>
            </xdr:cNvPr>
            <xdr:cNvSpPr/>
          </xdr:nvSpPr>
          <xdr:spPr bwMode="auto">
            <a:xfrm>
              <a:off x="6097274" y="107836"/>
              <a:ext cx="446041" cy="422003"/>
            </a:xfrm>
            <a:prstGeom prst="roundRect">
              <a:avLst/>
            </a:prstGeom>
            <a:solidFill>
              <a:schemeClr val="accent2"/>
            </a:solidFill>
            <a:ln w="9525" cap="flat" cmpd="sng" algn="ctr">
              <a:noFill/>
              <a:prstDash val="solid"/>
              <a:round/>
              <a:headEnd type="none" w="med" len="med"/>
              <a:tailEnd type="none" w="med" len="med"/>
            </a:ln>
            <a:effectLst>
              <a:outerShdw blurRad="107950" dist="12700" dir="5400000" algn="ctr">
                <a:srgbClr val="000000"/>
              </a:outerShdw>
            </a:effectLst>
            <a:scene3d>
              <a:camera prst="orthographicFront">
                <a:rot lat="0" lon="0" rev="0"/>
              </a:camera>
              <a:lightRig rig="soft" dir="t">
                <a:rot lat="0" lon="0" rev="0"/>
              </a:lightRig>
            </a:scene3d>
            <a:sp3d contourW="44450" prstMaterial="matte">
              <a:bevelT w="63500" h="63500" prst="artDeco"/>
              <a:contourClr>
                <a:srgbClr val="FFFFFF"/>
              </a:contourClr>
            </a:sp3d>
          </xdr:spPr>
          <xdr:txBody>
            <a:bodyPr vert="horz" wrap="square" lIns="0" tIns="0" rIns="0" bIns="0" numCol="1" rtlCol="0" anchor="t" anchorCtr="0" compatLnSpc="1">
              <a:prstTxWarp prst="textNoShape">
                <a:avLst/>
              </a:prstTxWarp>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231775" indent="-231775" algn="ctr"/>
              <a:endParaRPr lang="en-US" sz="1800" b="1">
                <a:solidFill>
                  <a:srgbClr val="FFFFFF"/>
                </a:solidFill>
                <a:latin typeface="Univers 57 Condensed" pitchFamily="2" charset="0"/>
                <a:cs typeface="Arial"/>
              </a:endParaRPr>
            </a:p>
          </xdr:txBody>
        </xdr:sp>
      </xdr:grpSp>
      <xdr:pic>
        <xdr:nvPicPr>
          <xdr:cNvPr id="27" name="Graphic 12" descr="Bar graph with downward trend with solid fill">
            <a:extLst>
              <a:ext uri="{FF2B5EF4-FFF2-40B4-BE49-F238E27FC236}">
                <a16:creationId xmlns:a16="http://schemas.microsoft.com/office/drawing/2014/main" id="{272F27E1-308C-531B-7B30-5976879A1CBF}"/>
              </a:ext>
            </a:extLst>
          </xdr:cNvPr>
          <xdr:cNvPicPr>
            <a:picLocks noChangeAspect="1"/>
          </xdr:cNvPicPr>
        </xdr:nvPicPr>
        <xdr:blipFill>
          <a:blip xmlns:r="http://schemas.openxmlformats.org/officeDocument/2006/relationships" r:embed="rId12">
            <a:extLst>
              <a:ext uri="{96DAC541-7B7A-43D3-8B79-37D633B846F1}">
                <asvg:svgBlip xmlns:asvg="http://schemas.microsoft.com/office/drawing/2016/SVG/main" r:embed="rId13"/>
              </a:ext>
            </a:extLst>
          </a:blip>
          <a:stretch>
            <a:fillRect/>
          </a:stretch>
        </xdr:blipFill>
        <xdr:spPr>
          <a:xfrm>
            <a:off x="9300729" y="244186"/>
            <a:ext cx="314325" cy="314325"/>
          </a:xfrm>
          <a:prstGeom prst="rect">
            <a:avLst/>
          </a:prstGeom>
        </xdr:spPr>
      </xdr:pic>
    </xdr:grpSp>
    <xdr:clientData/>
  </xdr:twoCellAnchor>
  <xdr:twoCellAnchor editAs="oneCell">
    <xdr:from>
      <xdr:col>26</xdr:col>
      <xdr:colOff>0</xdr:colOff>
      <xdr:row>9</xdr:row>
      <xdr:rowOff>0</xdr:rowOff>
    </xdr:from>
    <xdr:to>
      <xdr:col>40</xdr:col>
      <xdr:colOff>448929</xdr:colOff>
      <xdr:row>27</xdr:row>
      <xdr:rowOff>58414</xdr:rowOff>
    </xdr:to>
    <xdr:pic>
      <xdr:nvPicPr>
        <xdr:cNvPr id="22" name="Picture 21">
          <a:extLst>
            <a:ext uri="{FF2B5EF4-FFF2-40B4-BE49-F238E27FC236}">
              <a16:creationId xmlns:a16="http://schemas.microsoft.com/office/drawing/2014/main" id="{55BA4453-B317-057E-8786-A93CE2298761}"/>
            </a:ext>
          </a:extLst>
        </xdr:cNvPr>
        <xdr:cNvPicPr>
          <a:picLocks noChangeAspect="1"/>
        </xdr:cNvPicPr>
      </xdr:nvPicPr>
      <xdr:blipFill>
        <a:blip xmlns:r="http://schemas.openxmlformats.org/officeDocument/2006/relationships" r:embed="rId14"/>
        <a:stretch>
          <a:fillRect/>
        </a:stretch>
      </xdr:blipFill>
      <xdr:spPr>
        <a:xfrm>
          <a:off x="16744950" y="1371600"/>
          <a:ext cx="8983329" cy="3486637"/>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2</xdr:col>
      <xdr:colOff>828675</xdr:colOff>
      <xdr:row>2</xdr:row>
      <xdr:rowOff>19050</xdr:rowOff>
    </xdr:from>
    <xdr:to>
      <xdr:col>3</xdr:col>
      <xdr:colOff>95250</xdr:colOff>
      <xdr:row>3</xdr:row>
      <xdr:rowOff>114300</xdr:rowOff>
    </xdr:to>
    <xdr:pic>
      <xdr:nvPicPr>
        <xdr:cNvPr id="2" name="Graphic 4" descr="Blockchain with solid fill">
          <a:extLst>
            <a:ext uri="{FF2B5EF4-FFF2-40B4-BE49-F238E27FC236}">
              <a16:creationId xmlns:a16="http://schemas.microsoft.com/office/drawing/2014/main" id="{82D52047-45EB-4464-BE9C-88E44D35AF2A}"/>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724150" y="400050"/>
          <a:ext cx="285750" cy="285750"/>
        </a:xfrm>
        <a:prstGeom prst="rect">
          <a:avLst/>
        </a:prstGeom>
      </xdr:spPr>
    </xdr:pic>
    <xdr:clientData/>
  </xdr:twoCellAnchor>
  <xdr:twoCellAnchor editAs="oneCell">
    <xdr:from>
      <xdr:col>6</xdr:col>
      <xdr:colOff>171450</xdr:colOff>
      <xdr:row>1</xdr:row>
      <xdr:rowOff>133350</xdr:rowOff>
    </xdr:from>
    <xdr:to>
      <xdr:col>6</xdr:col>
      <xdr:colOff>542925</xdr:colOff>
      <xdr:row>3</xdr:row>
      <xdr:rowOff>123825</xdr:rowOff>
    </xdr:to>
    <xdr:pic>
      <xdr:nvPicPr>
        <xdr:cNvPr id="3" name="Graphic 8" descr="Calculator with solid fill">
          <a:extLst>
            <a:ext uri="{FF2B5EF4-FFF2-40B4-BE49-F238E27FC236}">
              <a16:creationId xmlns:a16="http://schemas.microsoft.com/office/drawing/2014/main" id="{50BDB337-D30C-4131-9FA0-E08A9930D8F2}"/>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5181600" y="323850"/>
          <a:ext cx="371475" cy="371475"/>
        </a:xfrm>
        <a:prstGeom prst="rect">
          <a:avLst/>
        </a:prstGeom>
      </xdr:spPr>
    </xdr:pic>
    <xdr:clientData/>
  </xdr:twoCellAnchor>
  <xdr:twoCellAnchor editAs="absolute">
    <xdr:from>
      <xdr:col>0</xdr:col>
      <xdr:colOff>0</xdr:colOff>
      <xdr:row>0</xdr:row>
      <xdr:rowOff>0</xdr:rowOff>
    </xdr:from>
    <xdr:to>
      <xdr:col>21</xdr:col>
      <xdr:colOff>536574</xdr:colOff>
      <xdr:row>4</xdr:row>
      <xdr:rowOff>19050</xdr:rowOff>
    </xdr:to>
    <xdr:sp macro="" textlink="">
      <xdr:nvSpPr>
        <xdr:cNvPr id="14" name="Rectangle 13">
          <a:extLst>
            <a:ext uri="{FF2B5EF4-FFF2-40B4-BE49-F238E27FC236}">
              <a16:creationId xmlns:a16="http://schemas.microsoft.com/office/drawing/2014/main" id="{56F79108-720A-4DE7-B1A4-3C0A46F40829}"/>
            </a:ext>
          </a:extLst>
        </xdr:cNvPr>
        <xdr:cNvSpPr>
          <a:spLocks/>
        </xdr:cNvSpPr>
      </xdr:nvSpPr>
      <xdr:spPr>
        <a:xfrm>
          <a:off x="0" y="0"/>
          <a:ext cx="14277974" cy="781050"/>
        </a:xfrm>
        <a:prstGeom prst="rect">
          <a:avLst/>
        </a:prstGeom>
        <a:solidFill>
          <a:srgbClr val="0C769E"/>
        </a:solidFill>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algn="l"/>
          <a:endParaRPr lang="en-US" sz="1100"/>
        </a:p>
      </xdr:txBody>
    </xdr:sp>
    <xdr:clientData/>
  </xdr:twoCellAnchor>
  <xdr:twoCellAnchor>
    <xdr:from>
      <xdr:col>2</xdr:col>
      <xdr:colOff>9525</xdr:colOff>
      <xdr:row>0</xdr:row>
      <xdr:rowOff>85725</xdr:rowOff>
    </xdr:from>
    <xdr:to>
      <xdr:col>3</xdr:col>
      <xdr:colOff>307331</xdr:colOff>
      <xdr:row>3</xdr:row>
      <xdr:rowOff>121514</xdr:rowOff>
    </xdr:to>
    <xdr:grpSp>
      <xdr:nvGrpSpPr>
        <xdr:cNvPr id="15" name="Group 14">
          <a:extLst>
            <a:ext uri="{FF2B5EF4-FFF2-40B4-BE49-F238E27FC236}">
              <a16:creationId xmlns:a16="http://schemas.microsoft.com/office/drawing/2014/main" id="{01B19497-52EA-418A-B1B4-E04D3A3D3796}"/>
            </a:ext>
          </a:extLst>
        </xdr:cNvPr>
        <xdr:cNvGrpSpPr/>
      </xdr:nvGrpSpPr>
      <xdr:grpSpPr>
        <a:xfrm>
          <a:off x="1485900" y="85725"/>
          <a:ext cx="1316981" cy="607289"/>
          <a:chOff x="5934075" y="276225"/>
          <a:chExt cx="1316981" cy="607289"/>
        </a:xfrm>
      </xdr:grpSpPr>
      <xdr:grpSp>
        <xdr:nvGrpSpPr>
          <xdr:cNvPr id="16" name="Group 15">
            <a:extLst>
              <a:ext uri="{FF2B5EF4-FFF2-40B4-BE49-F238E27FC236}">
                <a16:creationId xmlns:a16="http://schemas.microsoft.com/office/drawing/2014/main" id="{2E8ED6F3-689A-7267-EE26-D289ED818717}"/>
              </a:ext>
            </a:extLst>
          </xdr:cNvPr>
          <xdr:cNvGrpSpPr>
            <a:grpSpLocks/>
          </xdr:cNvGrpSpPr>
        </xdr:nvGrpSpPr>
        <xdr:grpSpPr>
          <a:xfrm>
            <a:off x="5934075" y="276225"/>
            <a:ext cx="1316981" cy="607289"/>
            <a:chOff x="647368" y="981075"/>
            <a:chExt cx="1619915" cy="789528"/>
          </a:xfrm>
        </xdr:grpSpPr>
        <xdr:sp macro="" textlink="">
          <xdr:nvSpPr>
            <xdr:cNvPr id="18" name="TextBox 17">
              <a:extLst>
                <a:ext uri="{FF2B5EF4-FFF2-40B4-BE49-F238E27FC236}">
                  <a16:creationId xmlns:a16="http://schemas.microsoft.com/office/drawing/2014/main" id="{4A4D4478-54BD-9857-8E11-A61FC466483C}"/>
                </a:ext>
              </a:extLst>
            </xdr:cNvPr>
            <xdr:cNvSpPr txBox="1"/>
          </xdr:nvSpPr>
          <xdr:spPr>
            <a:xfrm>
              <a:off x="647368" y="1587723"/>
              <a:ext cx="1619915" cy="1828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800" b="1">
                  <a:solidFill>
                    <a:schemeClr val="bg1"/>
                  </a:solidFill>
                  <a:latin typeface="Calibri" panose="020F0502020204030204" pitchFamily="34" charset="0"/>
                  <a:ea typeface="Calibri" panose="020F0502020204030204" pitchFamily="34" charset="0"/>
                  <a:cs typeface="Calibri" panose="020F0502020204030204" pitchFamily="34" charset="0"/>
                </a:rPr>
                <a:t>MEV</a:t>
              </a:r>
            </a:p>
          </xdr:txBody>
        </xdr:sp>
        <xdr:sp macro="" textlink="">
          <xdr:nvSpPr>
            <xdr:cNvPr id="19" name="Rounded Rectangle 32">
              <a:extLst>
                <a:ext uri="{FF2B5EF4-FFF2-40B4-BE49-F238E27FC236}">
                  <a16:creationId xmlns:a16="http://schemas.microsoft.com/office/drawing/2014/main" id="{5F6F3884-F2F1-E28E-2BA5-BA1A006EC00F}"/>
                </a:ext>
              </a:extLst>
            </xdr:cNvPr>
            <xdr:cNvSpPr/>
          </xdr:nvSpPr>
          <xdr:spPr bwMode="auto">
            <a:xfrm>
              <a:off x="1190625" y="981075"/>
              <a:ext cx="548640" cy="548640"/>
            </a:xfrm>
            <a:prstGeom prst="roundRect">
              <a:avLst/>
            </a:prstGeom>
            <a:solidFill>
              <a:schemeClr val="accent2"/>
            </a:solidFill>
            <a:ln w="9525" cap="flat" cmpd="sng" algn="ctr">
              <a:noFill/>
              <a:prstDash val="solid"/>
              <a:round/>
              <a:headEnd type="none" w="med" len="med"/>
              <a:tailEnd type="none" w="med" len="med"/>
            </a:ln>
            <a:effectLst>
              <a:outerShdw blurRad="107950" dist="12700" dir="5400000" algn="ctr">
                <a:srgbClr val="000000"/>
              </a:outerShdw>
            </a:effectLst>
            <a:scene3d>
              <a:camera prst="orthographicFront">
                <a:rot lat="0" lon="0" rev="0"/>
              </a:camera>
              <a:lightRig rig="soft" dir="t">
                <a:rot lat="0" lon="0" rev="0"/>
              </a:lightRig>
            </a:scene3d>
            <a:sp3d contourW="44450" prstMaterial="matte">
              <a:bevelT w="63500" h="63500" prst="artDeco"/>
              <a:contourClr>
                <a:srgbClr val="FFFFFF"/>
              </a:contourClr>
            </a:sp3d>
          </xdr:spPr>
          <xdr:txBody>
            <a:bodyPr vert="horz" wrap="square" lIns="0" tIns="0" rIns="0" bIns="0" numCol="1" rtlCol="0" anchor="t" anchorCtr="0" compatLnSpc="1">
              <a:prstTxWarp prst="textNoShape">
                <a:avLst/>
              </a:prstTxWarp>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231775" indent="-231775" algn="ctr"/>
              <a:endParaRPr lang="en-US" sz="1800" b="1">
                <a:solidFill>
                  <a:srgbClr val="FFFFFF"/>
                </a:solidFill>
                <a:latin typeface="Univers 57 Condensed" pitchFamily="2" charset="0"/>
                <a:cs typeface="Arial"/>
              </a:endParaRPr>
            </a:p>
          </xdr:txBody>
        </xdr:sp>
      </xdr:grpSp>
      <xdr:pic>
        <xdr:nvPicPr>
          <xdr:cNvPr id="17" name="Graphic 10" descr="Downward trend graph with solid fill">
            <a:hlinkClick xmlns:r="http://schemas.openxmlformats.org/officeDocument/2006/relationships" r:id="rId5"/>
            <a:extLst>
              <a:ext uri="{FF2B5EF4-FFF2-40B4-BE49-F238E27FC236}">
                <a16:creationId xmlns:a16="http://schemas.microsoft.com/office/drawing/2014/main" id="{69F7FBE0-B2BB-29C7-4F15-0A389908D2F2}"/>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6429375" y="304800"/>
            <a:ext cx="323850" cy="323850"/>
          </a:xfrm>
          <a:prstGeom prst="rect">
            <a:avLst/>
          </a:prstGeom>
        </xdr:spPr>
      </xdr:pic>
    </xdr:grpSp>
    <xdr:clientData/>
  </xdr:twoCellAnchor>
  <xdr:twoCellAnchor editAs="absolute">
    <xdr:from>
      <xdr:col>3</xdr:col>
      <xdr:colOff>622300</xdr:colOff>
      <xdr:row>1</xdr:row>
      <xdr:rowOff>38100</xdr:rowOff>
    </xdr:from>
    <xdr:to>
      <xdr:col>5</xdr:col>
      <xdr:colOff>416560</xdr:colOff>
      <xdr:row>3</xdr:row>
      <xdr:rowOff>53100</xdr:rowOff>
    </xdr:to>
    <xdr:sp macro="" textlink="">
      <xdr:nvSpPr>
        <xdr:cNvPr id="20" name="Arrow: Right 19">
          <a:hlinkClick xmlns:r="http://schemas.openxmlformats.org/officeDocument/2006/relationships" r:id="rId5"/>
          <a:extLst>
            <a:ext uri="{FF2B5EF4-FFF2-40B4-BE49-F238E27FC236}">
              <a16:creationId xmlns:a16="http://schemas.microsoft.com/office/drawing/2014/main" id="{C4B22464-FF9C-44DB-8A44-B48054B33E41}"/>
            </a:ext>
          </a:extLst>
        </xdr:cNvPr>
        <xdr:cNvSpPr/>
      </xdr:nvSpPr>
      <xdr:spPr>
        <a:xfrm>
          <a:off x="3124200" y="228600"/>
          <a:ext cx="1280160" cy="396000"/>
        </a:xfrm>
        <a:prstGeom prst="rightArrow">
          <a:avLst/>
        </a:prstGeom>
        <a:solidFill>
          <a:schemeClr val="accent1"/>
        </a:solidFill>
        <a:ln>
          <a:noFill/>
        </a:ln>
        <a:effectLst>
          <a:outerShdw blurRad="107950" dist="12700" dir="5400000" algn="ctr">
            <a:srgbClr val="000000"/>
          </a:outerShdw>
        </a:effectLst>
        <a:scene3d>
          <a:camera prst="orthographicFront">
            <a:rot lat="0" lon="0" rev="0"/>
          </a:camera>
          <a:lightRig rig="soft" dir="t">
            <a:rot lat="0" lon="0" rev="0"/>
          </a:lightRig>
        </a:scene3d>
        <a:sp3d contourW="44450" prstMaterial="matte">
          <a:bevelT w="63500" h="63500" prst="artDeco"/>
          <a:contourClr>
            <a:srgbClr val="FFFFFF"/>
          </a:contourClr>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800" b="1">
              <a:latin typeface="Calibri" panose="020F0502020204030204" pitchFamily="34" charset="0"/>
              <a:ea typeface="Calibri" panose="020F0502020204030204" pitchFamily="34" charset="0"/>
              <a:cs typeface="Calibri" panose="020F0502020204030204" pitchFamily="34" charset="0"/>
            </a:rPr>
            <a:t>MEV DATA</a:t>
          </a:r>
          <a:endParaRPr lang="en-US" sz="800" b="1" baseline="0">
            <a:latin typeface="Calibri" panose="020F0502020204030204" pitchFamily="34" charset="0"/>
            <a:ea typeface="Calibri" panose="020F0502020204030204" pitchFamily="34" charset="0"/>
            <a:cs typeface="Calibri" panose="020F0502020204030204" pitchFamily="34" charset="0"/>
          </a:endParaRPr>
        </a:p>
      </xdr:txBody>
    </xdr:sp>
    <xdr:clientData/>
  </xdr:twoCellAnchor>
  <xdr:twoCellAnchor editAs="absolute">
    <xdr:from>
      <xdr:col>5</xdr:col>
      <xdr:colOff>548481</xdr:colOff>
      <xdr:row>1</xdr:row>
      <xdr:rowOff>38100</xdr:rowOff>
    </xdr:from>
    <xdr:to>
      <xdr:col>7</xdr:col>
      <xdr:colOff>609441</xdr:colOff>
      <xdr:row>3</xdr:row>
      <xdr:rowOff>53100</xdr:rowOff>
    </xdr:to>
    <xdr:sp macro="" textlink="">
      <xdr:nvSpPr>
        <xdr:cNvPr id="21" name="Arrow: Right 20">
          <a:hlinkClick xmlns:r="http://schemas.openxmlformats.org/officeDocument/2006/relationships" r:id="rId8"/>
          <a:extLst>
            <a:ext uri="{FF2B5EF4-FFF2-40B4-BE49-F238E27FC236}">
              <a16:creationId xmlns:a16="http://schemas.microsoft.com/office/drawing/2014/main" id="{9FF7BC33-95D1-4794-BD65-E6CD98836A3C}"/>
            </a:ext>
          </a:extLst>
        </xdr:cNvPr>
        <xdr:cNvSpPr/>
      </xdr:nvSpPr>
      <xdr:spPr>
        <a:xfrm>
          <a:off x="4536281" y="228600"/>
          <a:ext cx="1280160" cy="396000"/>
        </a:xfrm>
        <a:prstGeom prst="rightArrow">
          <a:avLst/>
        </a:prstGeom>
        <a:solidFill>
          <a:schemeClr val="accent1"/>
        </a:solidFill>
        <a:ln>
          <a:noFill/>
        </a:ln>
        <a:effectLst>
          <a:outerShdw blurRad="107950" dist="12700" dir="5400000" algn="ctr">
            <a:srgbClr val="000000"/>
          </a:outerShdw>
        </a:effectLst>
        <a:scene3d>
          <a:camera prst="orthographicFront">
            <a:rot lat="0" lon="0" rev="0"/>
          </a:camera>
          <a:lightRig rig="soft" dir="t">
            <a:rot lat="0" lon="0" rev="0"/>
          </a:lightRig>
        </a:scene3d>
        <a:sp3d contourW="44450" prstMaterial="matte">
          <a:bevelT w="63500" h="63500" prst="artDeco"/>
          <a:contourClr>
            <a:srgbClr val="FFFFFF"/>
          </a:contourClr>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800" b="1">
              <a:latin typeface="Calibri" panose="020F0502020204030204" pitchFamily="34" charset="0"/>
              <a:ea typeface="Calibri" panose="020F0502020204030204" pitchFamily="34" charset="0"/>
              <a:cs typeface="Calibri" panose="020F0502020204030204" pitchFamily="34" charset="0"/>
            </a:rPr>
            <a:t>MEV SELECTION</a:t>
          </a:r>
          <a:endParaRPr lang="en-US" sz="800" b="1" baseline="0">
            <a:latin typeface="Calibri" panose="020F0502020204030204" pitchFamily="34" charset="0"/>
            <a:ea typeface="Calibri" panose="020F0502020204030204" pitchFamily="34" charset="0"/>
            <a:cs typeface="Calibri" panose="020F0502020204030204" pitchFamily="34" charset="0"/>
          </a:endParaRPr>
        </a:p>
      </xdr:txBody>
    </xdr:sp>
    <xdr:clientData/>
  </xdr:twoCellAnchor>
  <xdr:twoCellAnchor editAs="absolute">
    <xdr:from>
      <xdr:col>10</xdr:col>
      <xdr:colOff>455612</xdr:colOff>
      <xdr:row>1</xdr:row>
      <xdr:rowOff>28575</xdr:rowOff>
    </xdr:from>
    <xdr:to>
      <xdr:col>12</xdr:col>
      <xdr:colOff>516572</xdr:colOff>
      <xdr:row>3</xdr:row>
      <xdr:rowOff>43575</xdr:rowOff>
    </xdr:to>
    <xdr:sp macro="" textlink="">
      <xdr:nvSpPr>
        <xdr:cNvPr id="22" name="Arrow: Right 21">
          <a:hlinkClick xmlns:r="http://schemas.openxmlformats.org/officeDocument/2006/relationships" r:id="rId9"/>
          <a:extLst>
            <a:ext uri="{FF2B5EF4-FFF2-40B4-BE49-F238E27FC236}">
              <a16:creationId xmlns:a16="http://schemas.microsoft.com/office/drawing/2014/main" id="{0C6C1FB8-A1E8-42DB-9159-903A82045F39}"/>
            </a:ext>
          </a:extLst>
        </xdr:cNvPr>
        <xdr:cNvSpPr/>
      </xdr:nvSpPr>
      <xdr:spPr>
        <a:xfrm>
          <a:off x="7491412" y="219075"/>
          <a:ext cx="1280160" cy="396000"/>
        </a:xfrm>
        <a:prstGeom prst="rightArrow">
          <a:avLst/>
        </a:prstGeom>
        <a:solidFill>
          <a:schemeClr val="accent1"/>
        </a:solidFill>
        <a:ln>
          <a:noFill/>
        </a:ln>
        <a:effectLst>
          <a:outerShdw blurRad="107950" dist="12700" dir="5400000" algn="ctr">
            <a:srgbClr val="000000"/>
          </a:outerShdw>
        </a:effectLst>
        <a:scene3d>
          <a:camera prst="orthographicFront">
            <a:rot lat="0" lon="0" rev="0"/>
          </a:camera>
          <a:lightRig rig="soft" dir="t">
            <a:rot lat="0" lon="0" rev="0"/>
          </a:lightRig>
        </a:scene3d>
        <a:sp3d contourW="44450" prstMaterial="matte">
          <a:bevelT w="63500" h="63500" prst="artDeco"/>
          <a:contourClr>
            <a:srgbClr val="FFFFFF"/>
          </a:contourClr>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800" b="1">
              <a:latin typeface="Calibri" panose="020F0502020204030204" pitchFamily="34" charset="0"/>
              <a:ea typeface="Calibri" panose="020F0502020204030204" pitchFamily="34" charset="0"/>
              <a:cs typeface="Calibri" panose="020F0502020204030204" pitchFamily="34" charset="0"/>
            </a:rPr>
            <a:t>MEV SCENARIO</a:t>
          </a:r>
          <a:endParaRPr lang="en-US" sz="800" b="1" baseline="0">
            <a:latin typeface="Calibri" panose="020F0502020204030204" pitchFamily="34" charset="0"/>
            <a:ea typeface="Calibri" panose="020F0502020204030204" pitchFamily="34" charset="0"/>
            <a:cs typeface="Calibri" panose="020F0502020204030204" pitchFamily="34" charset="0"/>
          </a:endParaRPr>
        </a:p>
      </xdr:txBody>
    </xdr:sp>
    <xdr:clientData/>
  </xdr:twoCellAnchor>
  <xdr:twoCellAnchor editAs="absolute">
    <xdr:from>
      <xdr:col>8</xdr:col>
      <xdr:colOff>193675</xdr:colOff>
      <xdr:row>1</xdr:row>
      <xdr:rowOff>38100</xdr:rowOff>
    </xdr:from>
    <xdr:to>
      <xdr:col>10</xdr:col>
      <xdr:colOff>254635</xdr:colOff>
      <xdr:row>3</xdr:row>
      <xdr:rowOff>53100</xdr:rowOff>
    </xdr:to>
    <xdr:sp macro="" textlink="">
      <xdr:nvSpPr>
        <xdr:cNvPr id="23" name="Arrow: Right 22">
          <a:hlinkClick xmlns:r="http://schemas.openxmlformats.org/officeDocument/2006/relationships" r:id="rId10"/>
          <a:extLst>
            <a:ext uri="{FF2B5EF4-FFF2-40B4-BE49-F238E27FC236}">
              <a16:creationId xmlns:a16="http://schemas.microsoft.com/office/drawing/2014/main" id="{8A660C07-9AAE-4D00-AB36-600BC321AA2D}"/>
            </a:ext>
          </a:extLst>
        </xdr:cNvPr>
        <xdr:cNvSpPr/>
      </xdr:nvSpPr>
      <xdr:spPr>
        <a:xfrm>
          <a:off x="6010275" y="228600"/>
          <a:ext cx="1280160" cy="396000"/>
        </a:xfrm>
        <a:prstGeom prst="rightArrow">
          <a:avLst/>
        </a:prstGeom>
        <a:solidFill>
          <a:schemeClr val="accent6"/>
        </a:solidFill>
        <a:ln>
          <a:noFill/>
        </a:ln>
        <a:effectLst>
          <a:outerShdw blurRad="107950" dist="12700" dir="5400000" algn="ctr">
            <a:srgbClr val="000000"/>
          </a:outerShdw>
        </a:effectLst>
        <a:scene3d>
          <a:camera prst="orthographicFront">
            <a:rot lat="0" lon="0" rev="0"/>
          </a:camera>
          <a:lightRig rig="soft" dir="t">
            <a:rot lat="0" lon="0" rev="0"/>
          </a:lightRig>
        </a:scene3d>
        <a:sp3d contourW="44450" prstMaterial="matte">
          <a:bevelT w="63500" h="63500" prst="artDeco"/>
          <a:contourClr>
            <a:srgbClr val="FFFFFF"/>
          </a:contourClr>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800" b="1">
              <a:latin typeface="Calibri" panose="020F0502020204030204" pitchFamily="34" charset="0"/>
              <a:ea typeface="Calibri" panose="020F0502020204030204" pitchFamily="34" charset="0"/>
              <a:cs typeface="Calibri" panose="020F0502020204030204" pitchFamily="34" charset="0"/>
            </a:rPr>
            <a:t>MEV INDEX</a:t>
          </a:r>
          <a:endParaRPr lang="en-US" sz="800" b="1" baseline="0">
            <a:latin typeface="Calibri" panose="020F0502020204030204" pitchFamily="34" charset="0"/>
            <a:ea typeface="Calibri" panose="020F0502020204030204" pitchFamily="34" charset="0"/>
            <a:cs typeface="Calibri" panose="020F0502020204030204" pitchFamily="34" charset="0"/>
          </a:endParaRPr>
        </a:p>
      </xdr:txBody>
    </xdr:sp>
    <xdr:clientData/>
  </xdr:twoCellAnchor>
  <xdr:twoCellAnchor>
    <xdr:from>
      <xdr:col>1</xdr:col>
      <xdr:colOff>123825</xdr:colOff>
      <xdr:row>0</xdr:row>
      <xdr:rowOff>95250</xdr:rowOff>
    </xdr:from>
    <xdr:to>
      <xdr:col>2</xdr:col>
      <xdr:colOff>30226</xdr:colOff>
      <xdr:row>3</xdr:row>
      <xdr:rowOff>134754</xdr:rowOff>
    </xdr:to>
    <xdr:grpSp>
      <xdr:nvGrpSpPr>
        <xdr:cNvPr id="24" name="Group 23">
          <a:hlinkClick xmlns:r="http://schemas.openxmlformats.org/officeDocument/2006/relationships" r:id="rId11"/>
          <a:extLst>
            <a:ext uri="{FF2B5EF4-FFF2-40B4-BE49-F238E27FC236}">
              <a16:creationId xmlns:a16="http://schemas.microsoft.com/office/drawing/2014/main" id="{B554306D-933C-4A30-AE80-A85A3F4149C6}"/>
            </a:ext>
          </a:extLst>
        </xdr:cNvPr>
        <xdr:cNvGrpSpPr/>
      </xdr:nvGrpSpPr>
      <xdr:grpSpPr>
        <a:xfrm>
          <a:off x="314325" y="95250"/>
          <a:ext cx="1192276" cy="611004"/>
          <a:chOff x="323851" y="104775"/>
          <a:chExt cx="1192276" cy="611004"/>
        </a:xfrm>
      </xdr:grpSpPr>
      <xdr:grpSp>
        <xdr:nvGrpSpPr>
          <xdr:cNvPr id="25" name="Group 24">
            <a:hlinkClick xmlns:r="http://schemas.openxmlformats.org/officeDocument/2006/relationships" r:id="rId12"/>
            <a:extLst>
              <a:ext uri="{FF2B5EF4-FFF2-40B4-BE49-F238E27FC236}">
                <a16:creationId xmlns:a16="http://schemas.microsoft.com/office/drawing/2014/main" id="{A7328004-2FD5-0145-7361-A94D3DA7E586}"/>
              </a:ext>
            </a:extLst>
          </xdr:cNvPr>
          <xdr:cNvGrpSpPr>
            <a:grpSpLocks/>
          </xdr:cNvGrpSpPr>
        </xdr:nvGrpSpPr>
        <xdr:grpSpPr>
          <a:xfrm>
            <a:off x="323851" y="114300"/>
            <a:ext cx="1192276" cy="601479"/>
            <a:chOff x="1016275" y="85726"/>
            <a:chExt cx="1472650" cy="770477"/>
          </a:xfrm>
        </xdr:grpSpPr>
        <xdr:sp macro="" textlink="">
          <xdr:nvSpPr>
            <xdr:cNvPr id="27" name="Rounded Rectangle 27">
              <a:extLst>
                <a:ext uri="{FF2B5EF4-FFF2-40B4-BE49-F238E27FC236}">
                  <a16:creationId xmlns:a16="http://schemas.microsoft.com/office/drawing/2014/main" id="{3419E882-56A1-5F23-C779-79CB0E1132AA}"/>
                </a:ext>
              </a:extLst>
            </xdr:cNvPr>
            <xdr:cNvSpPr/>
          </xdr:nvSpPr>
          <xdr:spPr bwMode="auto">
            <a:xfrm>
              <a:off x="1478280" y="85726"/>
              <a:ext cx="548640" cy="548638"/>
            </a:xfrm>
            <a:prstGeom prst="roundRect">
              <a:avLst/>
            </a:prstGeom>
            <a:solidFill>
              <a:schemeClr val="accent2"/>
            </a:solidFill>
            <a:ln w="9525" cap="flat" cmpd="sng" algn="ctr">
              <a:noFill/>
              <a:prstDash val="solid"/>
              <a:round/>
              <a:headEnd type="none" w="med" len="med"/>
              <a:tailEnd type="none" w="med" len="med"/>
            </a:ln>
            <a:effectLst>
              <a:outerShdw blurRad="107950" dist="12700" dir="5400000" algn="ctr">
                <a:srgbClr val="000000"/>
              </a:outerShdw>
            </a:effectLst>
            <a:scene3d>
              <a:camera prst="orthographicFront">
                <a:rot lat="0" lon="0" rev="0"/>
              </a:camera>
              <a:lightRig rig="soft" dir="t">
                <a:rot lat="0" lon="0" rev="0"/>
              </a:lightRig>
            </a:scene3d>
            <a:sp3d contourW="44450" prstMaterial="matte">
              <a:bevelT w="63500" h="63500" prst="artDeco"/>
              <a:contourClr>
                <a:srgbClr val="FFFFFF"/>
              </a:contourClr>
            </a:sp3d>
          </xdr:spPr>
          <xdr:txBody>
            <a:bodyPr vert="horz" wrap="square" lIns="0" tIns="0" rIns="0" bIns="0" numCol="1" rtlCol="0" anchor="t" anchorCtr="0" compatLnSpc="1">
              <a:prstTxWarp prst="textNoShape">
                <a:avLst/>
              </a:prstTxWarp>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231775" indent="-231775" algn="ctr"/>
              <a:endParaRPr lang="en-US" sz="1800" b="1">
                <a:solidFill>
                  <a:srgbClr val="FFFFFF"/>
                </a:solidFill>
                <a:latin typeface="Univers 57 Condensed" pitchFamily="2" charset="0"/>
                <a:cs typeface="Arial"/>
              </a:endParaRPr>
            </a:p>
          </xdr:txBody>
        </xdr:sp>
        <xdr:sp macro="" textlink="">
          <xdr:nvSpPr>
            <xdr:cNvPr id="28" name="TextBox 27">
              <a:extLst>
                <a:ext uri="{FF2B5EF4-FFF2-40B4-BE49-F238E27FC236}">
                  <a16:creationId xmlns:a16="http://schemas.microsoft.com/office/drawing/2014/main" id="{0152AD62-E565-8E79-FA01-CD6AA8975343}"/>
                </a:ext>
              </a:extLst>
            </xdr:cNvPr>
            <xdr:cNvSpPr txBox="1"/>
          </xdr:nvSpPr>
          <xdr:spPr>
            <a:xfrm>
              <a:off x="1016275" y="673323"/>
              <a:ext cx="1472650" cy="1828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800" b="1">
                  <a:solidFill>
                    <a:schemeClr val="bg1"/>
                  </a:solidFill>
                  <a:latin typeface="Calibri" panose="020F0502020204030204" pitchFamily="34" charset="0"/>
                  <a:ea typeface="Calibri" panose="020F0502020204030204" pitchFamily="34" charset="0"/>
                  <a:cs typeface="Calibri" panose="020F0502020204030204" pitchFamily="34" charset="0"/>
                </a:rPr>
                <a:t>Home</a:t>
              </a:r>
            </a:p>
          </xdr:txBody>
        </xdr:sp>
      </xdr:grpSp>
      <xdr:pic>
        <xdr:nvPicPr>
          <xdr:cNvPr id="26" name="Graphic 25" descr="Home outline">
            <a:extLst>
              <a:ext uri="{FF2B5EF4-FFF2-40B4-BE49-F238E27FC236}">
                <a16:creationId xmlns:a16="http://schemas.microsoft.com/office/drawing/2014/main" id="{48409503-1514-045A-6C38-86B1146402F9}"/>
              </a:ext>
            </a:extLst>
          </xdr:cNvPr>
          <xdr:cNvPicPr>
            <a:picLocks noChangeAspect="1"/>
          </xdr:cNvPicPr>
        </xdr:nvPicPr>
        <xdr:blipFill>
          <a:blip xmlns:r="http://schemas.openxmlformats.org/officeDocument/2006/relationships" r:embed="rId13">
            <a:extLst>
              <a:ext uri="{96DAC541-7B7A-43D3-8B79-37D633B846F1}">
                <asvg:svgBlip xmlns:asvg="http://schemas.microsoft.com/office/drawing/2016/SVG/main" r:embed="rId14"/>
              </a:ext>
            </a:extLst>
          </a:blip>
          <a:stretch>
            <a:fillRect/>
          </a:stretch>
        </xdr:blipFill>
        <xdr:spPr>
          <a:xfrm>
            <a:off x="723900" y="104775"/>
            <a:ext cx="390525" cy="390525"/>
          </a:xfrm>
          <a:prstGeom prst="rect">
            <a:avLst/>
          </a:prstGeom>
        </xdr:spPr>
      </xdr:pic>
    </xdr:grpSp>
    <xdr:clientData/>
  </xdr:twoCellAnchor>
  <xdr:twoCellAnchor>
    <xdr:from>
      <xdr:col>12</xdr:col>
      <xdr:colOff>257175</xdr:colOff>
      <xdr:row>0</xdr:row>
      <xdr:rowOff>85725</xdr:rowOff>
    </xdr:from>
    <xdr:to>
      <xdr:col>14</xdr:col>
      <xdr:colOff>354956</xdr:colOff>
      <xdr:row>3</xdr:row>
      <xdr:rowOff>121513</xdr:rowOff>
    </xdr:to>
    <xdr:grpSp>
      <xdr:nvGrpSpPr>
        <xdr:cNvPr id="29" name="Group 28">
          <a:extLst>
            <a:ext uri="{FF2B5EF4-FFF2-40B4-BE49-F238E27FC236}">
              <a16:creationId xmlns:a16="http://schemas.microsoft.com/office/drawing/2014/main" id="{2923A5B8-F49D-4A8A-8F48-9E22A72458B0}"/>
            </a:ext>
          </a:extLst>
        </xdr:cNvPr>
        <xdr:cNvGrpSpPr/>
      </xdr:nvGrpSpPr>
      <xdr:grpSpPr>
        <a:xfrm>
          <a:off x="8505825" y="85725"/>
          <a:ext cx="1316981" cy="607288"/>
          <a:chOff x="8776854" y="197427"/>
          <a:chExt cx="1316981" cy="607288"/>
        </a:xfrm>
      </xdr:grpSpPr>
      <xdr:grpSp>
        <xdr:nvGrpSpPr>
          <xdr:cNvPr id="30" name="Group 29">
            <a:hlinkClick xmlns:r="http://schemas.openxmlformats.org/officeDocument/2006/relationships" r:id="rId15"/>
            <a:extLst>
              <a:ext uri="{FF2B5EF4-FFF2-40B4-BE49-F238E27FC236}">
                <a16:creationId xmlns:a16="http://schemas.microsoft.com/office/drawing/2014/main" id="{16E63664-3AB1-4BCF-C727-C7E1A0519E9F}"/>
              </a:ext>
            </a:extLst>
          </xdr:cNvPr>
          <xdr:cNvGrpSpPr>
            <a:grpSpLocks/>
          </xdr:cNvGrpSpPr>
        </xdr:nvGrpSpPr>
        <xdr:grpSpPr>
          <a:xfrm>
            <a:off x="8776854" y="197427"/>
            <a:ext cx="1316981" cy="607288"/>
            <a:chOff x="5655609" y="107836"/>
            <a:chExt cx="1316981" cy="607288"/>
          </a:xfrm>
        </xdr:grpSpPr>
        <xdr:sp macro="" textlink="">
          <xdr:nvSpPr>
            <xdr:cNvPr id="32" name="TextBox 31">
              <a:extLst>
                <a:ext uri="{FF2B5EF4-FFF2-40B4-BE49-F238E27FC236}">
                  <a16:creationId xmlns:a16="http://schemas.microsoft.com/office/drawing/2014/main" id="{AABAF5E2-96E4-5603-901A-4B05FCBBA1A6}"/>
                </a:ext>
              </a:extLst>
            </xdr:cNvPr>
            <xdr:cNvSpPr txBox="1"/>
          </xdr:nvSpPr>
          <xdr:spPr>
            <a:xfrm>
              <a:off x="5655609" y="574456"/>
              <a:ext cx="1316981" cy="14066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800" b="1">
                  <a:solidFill>
                    <a:schemeClr val="bg1"/>
                  </a:solidFill>
                  <a:latin typeface="Calibri" panose="020F0502020204030204" pitchFamily="34" charset="0"/>
                  <a:ea typeface="Calibri" panose="020F0502020204030204" pitchFamily="34" charset="0"/>
                  <a:cs typeface="Calibri" panose="020F0502020204030204" pitchFamily="34" charset="0"/>
                </a:rPr>
                <a:t>PIT PD</a:t>
              </a:r>
            </a:p>
          </xdr:txBody>
        </xdr:sp>
        <xdr:sp macro="" textlink="">
          <xdr:nvSpPr>
            <xdr:cNvPr id="33" name="Rounded Rectangle 32">
              <a:extLst>
                <a:ext uri="{FF2B5EF4-FFF2-40B4-BE49-F238E27FC236}">
                  <a16:creationId xmlns:a16="http://schemas.microsoft.com/office/drawing/2014/main" id="{9BD1E233-9FB3-5D5C-1F90-D332869A4F0D}"/>
                </a:ext>
              </a:extLst>
            </xdr:cNvPr>
            <xdr:cNvSpPr/>
          </xdr:nvSpPr>
          <xdr:spPr bwMode="auto">
            <a:xfrm>
              <a:off x="6097274" y="107836"/>
              <a:ext cx="446041" cy="422003"/>
            </a:xfrm>
            <a:prstGeom prst="roundRect">
              <a:avLst/>
            </a:prstGeom>
            <a:solidFill>
              <a:schemeClr val="accent2"/>
            </a:solidFill>
            <a:ln w="9525" cap="flat" cmpd="sng" algn="ctr">
              <a:noFill/>
              <a:prstDash val="solid"/>
              <a:round/>
              <a:headEnd type="none" w="med" len="med"/>
              <a:tailEnd type="none" w="med" len="med"/>
            </a:ln>
            <a:effectLst>
              <a:outerShdw blurRad="107950" dist="12700" dir="5400000" algn="ctr">
                <a:srgbClr val="000000"/>
              </a:outerShdw>
            </a:effectLst>
            <a:scene3d>
              <a:camera prst="orthographicFront">
                <a:rot lat="0" lon="0" rev="0"/>
              </a:camera>
              <a:lightRig rig="soft" dir="t">
                <a:rot lat="0" lon="0" rev="0"/>
              </a:lightRig>
            </a:scene3d>
            <a:sp3d contourW="44450" prstMaterial="matte">
              <a:bevelT w="63500" h="63500" prst="artDeco"/>
              <a:contourClr>
                <a:srgbClr val="FFFFFF"/>
              </a:contourClr>
            </a:sp3d>
          </xdr:spPr>
          <xdr:txBody>
            <a:bodyPr vert="horz" wrap="square" lIns="0" tIns="0" rIns="0" bIns="0" numCol="1" rtlCol="0" anchor="t" anchorCtr="0" compatLnSpc="1">
              <a:prstTxWarp prst="textNoShape">
                <a:avLst/>
              </a:prstTxWarp>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231775" indent="-231775" algn="ctr"/>
              <a:endParaRPr lang="en-US" sz="1800" b="1">
                <a:solidFill>
                  <a:srgbClr val="FFFFFF"/>
                </a:solidFill>
                <a:latin typeface="Univers 57 Condensed" pitchFamily="2" charset="0"/>
                <a:cs typeface="Arial"/>
              </a:endParaRPr>
            </a:p>
          </xdr:txBody>
        </xdr:sp>
      </xdr:grpSp>
      <xdr:pic>
        <xdr:nvPicPr>
          <xdr:cNvPr id="31" name="Graphic 12" descr="Bar graph with downward trend with solid fill">
            <a:extLst>
              <a:ext uri="{FF2B5EF4-FFF2-40B4-BE49-F238E27FC236}">
                <a16:creationId xmlns:a16="http://schemas.microsoft.com/office/drawing/2014/main" id="{68F10C46-15F2-4F70-C5A3-3320AABFEB60}"/>
              </a:ext>
            </a:extLst>
          </xdr:cNvPr>
          <xdr:cNvPicPr>
            <a:picLocks noChangeAspect="1"/>
          </xdr:cNvPicPr>
        </xdr:nvPicPr>
        <xdr:blipFill>
          <a:blip xmlns:r="http://schemas.openxmlformats.org/officeDocument/2006/relationships" r:embed="rId16">
            <a:extLst>
              <a:ext uri="{96DAC541-7B7A-43D3-8B79-37D633B846F1}">
                <asvg:svgBlip xmlns:asvg="http://schemas.microsoft.com/office/drawing/2016/SVG/main" r:embed="rId17"/>
              </a:ext>
            </a:extLst>
          </a:blip>
          <a:stretch>
            <a:fillRect/>
          </a:stretch>
        </xdr:blipFill>
        <xdr:spPr>
          <a:xfrm>
            <a:off x="9300729" y="244186"/>
            <a:ext cx="314325" cy="314325"/>
          </a:xfrm>
          <a:prstGeom prst="rect">
            <a:avLst/>
          </a:prstGeom>
        </xdr:spPr>
      </xdr:pic>
    </xdr:grpSp>
    <xdr:clientData/>
  </xdr:twoCellAnchor>
  <xdr:twoCellAnchor>
    <xdr:from>
      <xdr:col>7</xdr:col>
      <xdr:colOff>273050</xdr:colOff>
      <xdr:row>6</xdr:row>
      <xdr:rowOff>165100</xdr:rowOff>
    </xdr:from>
    <xdr:to>
      <xdr:col>9</xdr:col>
      <xdr:colOff>101600</xdr:colOff>
      <xdr:row>9</xdr:row>
      <xdr:rowOff>31750</xdr:rowOff>
    </xdr:to>
    <xdr:sp macro="" textlink="">
      <xdr:nvSpPr>
        <xdr:cNvPr id="4" name="Speech Bubble: Rectangle with Corners Rounded 3">
          <a:extLst>
            <a:ext uri="{FF2B5EF4-FFF2-40B4-BE49-F238E27FC236}">
              <a16:creationId xmlns:a16="http://schemas.microsoft.com/office/drawing/2014/main" id="{DDE0EA0C-75DD-BA42-50AF-FB65F5BE43FD}"/>
            </a:ext>
          </a:extLst>
        </xdr:cNvPr>
        <xdr:cNvSpPr/>
      </xdr:nvSpPr>
      <xdr:spPr>
        <a:xfrm>
          <a:off x="5632450" y="1270000"/>
          <a:ext cx="1047750" cy="419100"/>
        </a:xfrm>
        <a:prstGeom prst="wedgeRoundRectCallout">
          <a:avLst>
            <a:gd name="adj1" fmla="val 4015"/>
            <a:gd name="adj2" fmla="val 92325"/>
            <a:gd name="adj3" fmla="val 16667"/>
          </a:avLst>
        </a:prstGeom>
        <a:solidFill>
          <a:schemeClr val="accent2"/>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800">
              <a:latin typeface="Calibri" panose="020F0502020204030204" pitchFamily="34" charset="0"/>
              <a:ea typeface="Calibri" panose="020F0502020204030204" pitchFamily="34" charset="0"/>
              <a:cs typeface="Calibri" panose="020F0502020204030204" pitchFamily="34" charset="0"/>
            </a:rPr>
            <a:t>Please change date</a:t>
          </a:r>
          <a:r>
            <a:rPr lang="en-IN" sz="800" baseline="0">
              <a:latin typeface="Calibri" panose="020F0502020204030204" pitchFamily="34" charset="0"/>
              <a:ea typeface="Calibri" panose="020F0502020204030204" pitchFamily="34" charset="0"/>
              <a:cs typeface="Calibri" panose="020F0502020204030204" pitchFamily="34" charset="0"/>
            </a:rPr>
            <a:t> on annual basis</a:t>
          </a:r>
        </a:p>
        <a:p>
          <a:pPr algn="l"/>
          <a:endParaRPr lang="en-IN" sz="1100"/>
        </a:p>
      </xdr:txBody>
    </xdr:sp>
    <xdr:clientData/>
  </xdr:twoCellAnchor>
</xdr:wsDr>
</file>

<file path=xl/drawings/drawing6.xml><?xml version="1.0" encoding="utf-8"?>
<xdr:wsDr xmlns:xdr="http://schemas.openxmlformats.org/drawingml/2006/spreadsheetDrawing" xmlns:a="http://schemas.openxmlformats.org/drawingml/2006/main">
  <xdr:twoCellAnchor editAs="oneCell">
    <xdr:from>
      <xdr:col>6</xdr:col>
      <xdr:colOff>361950</xdr:colOff>
      <xdr:row>2</xdr:row>
      <xdr:rowOff>38100</xdr:rowOff>
    </xdr:from>
    <xdr:to>
      <xdr:col>7</xdr:col>
      <xdr:colOff>123825</xdr:colOff>
      <xdr:row>4</xdr:row>
      <xdr:rowOff>123825</xdr:rowOff>
    </xdr:to>
    <xdr:pic>
      <xdr:nvPicPr>
        <xdr:cNvPr id="2" name="Graphic 8" descr="Calculator with solid fill">
          <a:extLst>
            <a:ext uri="{FF2B5EF4-FFF2-40B4-BE49-F238E27FC236}">
              <a16:creationId xmlns:a16="http://schemas.microsoft.com/office/drawing/2014/main" id="{A5D21F95-6AD2-4A65-993F-864E62202FD4}"/>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5181600" y="323850"/>
          <a:ext cx="371475" cy="371475"/>
        </a:xfrm>
        <a:prstGeom prst="rect">
          <a:avLst/>
        </a:prstGeom>
      </xdr:spPr>
    </xdr:pic>
    <xdr:clientData/>
  </xdr:twoCellAnchor>
  <xdr:twoCellAnchor editAs="oneCell">
    <xdr:from>
      <xdr:col>10</xdr:col>
      <xdr:colOff>466725</xdr:colOff>
      <xdr:row>2</xdr:row>
      <xdr:rowOff>19050</xdr:rowOff>
    </xdr:from>
    <xdr:to>
      <xdr:col>11</xdr:col>
      <xdr:colOff>171450</xdr:colOff>
      <xdr:row>4</xdr:row>
      <xdr:rowOff>47625</xdr:rowOff>
    </xdr:to>
    <xdr:pic>
      <xdr:nvPicPr>
        <xdr:cNvPr id="3" name="Graphic 12" descr="Bar graph with downward trend with solid fill">
          <a:extLst>
            <a:ext uri="{FF2B5EF4-FFF2-40B4-BE49-F238E27FC236}">
              <a16:creationId xmlns:a16="http://schemas.microsoft.com/office/drawing/2014/main" id="{E72B22FE-A291-46FA-9926-5843471B27F7}"/>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7724775" y="304800"/>
          <a:ext cx="314325" cy="314325"/>
        </a:xfrm>
        <a:prstGeom prst="rect">
          <a:avLst/>
        </a:prstGeom>
      </xdr:spPr>
    </xdr:pic>
    <xdr:clientData/>
  </xdr:twoCellAnchor>
  <xdr:twoCellAnchor editAs="absolute">
    <xdr:from>
      <xdr:col>0</xdr:col>
      <xdr:colOff>0</xdr:colOff>
      <xdr:row>0</xdr:row>
      <xdr:rowOff>0</xdr:rowOff>
    </xdr:from>
    <xdr:to>
      <xdr:col>21</xdr:col>
      <xdr:colOff>314324</xdr:colOff>
      <xdr:row>5</xdr:row>
      <xdr:rowOff>66675</xdr:rowOff>
    </xdr:to>
    <xdr:sp macro="" textlink="">
      <xdr:nvSpPr>
        <xdr:cNvPr id="14" name="Rectangle 13">
          <a:extLst>
            <a:ext uri="{FF2B5EF4-FFF2-40B4-BE49-F238E27FC236}">
              <a16:creationId xmlns:a16="http://schemas.microsoft.com/office/drawing/2014/main" id="{40F793B2-BCF7-4648-B4C6-381CC651886B}"/>
            </a:ext>
          </a:extLst>
        </xdr:cNvPr>
        <xdr:cNvSpPr>
          <a:spLocks/>
        </xdr:cNvSpPr>
      </xdr:nvSpPr>
      <xdr:spPr>
        <a:xfrm>
          <a:off x="0" y="0"/>
          <a:ext cx="14277974" cy="781050"/>
        </a:xfrm>
        <a:prstGeom prst="rect">
          <a:avLst/>
        </a:prstGeom>
        <a:solidFill>
          <a:srgbClr val="0C769E"/>
        </a:solidFill>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algn="l"/>
          <a:endParaRPr lang="en-US" sz="1100"/>
        </a:p>
      </xdr:txBody>
    </xdr:sp>
    <xdr:clientData/>
  </xdr:twoCellAnchor>
  <xdr:twoCellAnchor>
    <xdr:from>
      <xdr:col>0</xdr:col>
      <xdr:colOff>1724025</xdr:colOff>
      <xdr:row>0</xdr:row>
      <xdr:rowOff>85725</xdr:rowOff>
    </xdr:from>
    <xdr:to>
      <xdr:col>3</xdr:col>
      <xdr:colOff>50156</xdr:colOff>
      <xdr:row>4</xdr:row>
      <xdr:rowOff>121514</xdr:rowOff>
    </xdr:to>
    <xdr:grpSp>
      <xdr:nvGrpSpPr>
        <xdr:cNvPr id="15" name="Group 14">
          <a:extLst>
            <a:ext uri="{FF2B5EF4-FFF2-40B4-BE49-F238E27FC236}">
              <a16:creationId xmlns:a16="http://schemas.microsoft.com/office/drawing/2014/main" id="{94C09453-004C-46AD-A238-223E20D339F2}"/>
            </a:ext>
          </a:extLst>
        </xdr:cNvPr>
        <xdr:cNvGrpSpPr/>
      </xdr:nvGrpSpPr>
      <xdr:grpSpPr>
        <a:xfrm>
          <a:off x="1724025" y="85725"/>
          <a:ext cx="1316981" cy="607289"/>
          <a:chOff x="5934075" y="276225"/>
          <a:chExt cx="1316981" cy="607289"/>
        </a:xfrm>
      </xdr:grpSpPr>
      <xdr:grpSp>
        <xdr:nvGrpSpPr>
          <xdr:cNvPr id="16" name="Group 15">
            <a:extLst>
              <a:ext uri="{FF2B5EF4-FFF2-40B4-BE49-F238E27FC236}">
                <a16:creationId xmlns:a16="http://schemas.microsoft.com/office/drawing/2014/main" id="{67488795-FEB2-6274-19AE-8896772E502F}"/>
              </a:ext>
            </a:extLst>
          </xdr:cNvPr>
          <xdr:cNvGrpSpPr>
            <a:grpSpLocks/>
          </xdr:cNvGrpSpPr>
        </xdr:nvGrpSpPr>
        <xdr:grpSpPr>
          <a:xfrm>
            <a:off x="5934075" y="276225"/>
            <a:ext cx="1316981" cy="607289"/>
            <a:chOff x="647368" y="981075"/>
            <a:chExt cx="1619915" cy="789528"/>
          </a:xfrm>
        </xdr:grpSpPr>
        <xdr:sp macro="" textlink="">
          <xdr:nvSpPr>
            <xdr:cNvPr id="18" name="TextBox 17">
              <a:extLst>
                <a:ext uri="{FF2B5EF4-FFF2-40B4-BE49-F238E27FC236}">
                  <a16:creationId xmlns:a16="http://schemas.microsoft.com/office/drawing/2014/main" id="{1F423DA8-D159-6E21-D3A5-E1FD04C819ED}"/>
                </a:ext>
              </a:extLst>
            </xdr:cNvPr>
            <xdr:cNvSpPr txBox="1"/>
          </xdr:nvSpPr>
          <xdr:spPr>
            <a:xfrm>
              <a:off x="647368" y="1587723"/>
              <a:ext cx="1619915" cy="1828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800" b="1">
                  <a:solidFill>
                    <a:schemeClr val="bg1"/>
                  </a:solidFill>
                  <a:latin typeface="Calibri" panose="020F0502020204030204" pitchFamily="34" charset="0"/>
                  <a:ea typeface="Calibri" panose="020F0502020204030204" pitchFamily="34" charset="0"/>
                  <a:cs typeface="Calibri" panose="020F0502020204030204" pitchFamily="34" charset="0"/>
                </a:rPr>
                <a:t>MEV</a:t>
              </a:r>
            </a:p>
          </xdr:txBody>
        </xdr:sp>
        <xdr:sp macro="" textlink="">
          <xdr:nvSpPr>
            <xdr:cNvPr id="19" name="Rounded Rectangle 32">
              <a:extLst>
                <a:ext uri="{FF2B5EF4-FFF2-40B4-BE49-F238E27FC236}">
                  <a16:creationId xmlns:a16="http://schemas.microsoft.com/office/drawing/2014/main" id="{11DDE85A-2447-1D35-62FB-57679DF7DA23}"/>
                </a:ext>
              </a:extLst>
            </xdr:cNvPr>
            <xdr:cNvSpPr/>
          </xdr:nvSpPr>
          <xdr:spPr bwMode="auto">
            <a:xfrm>
              <a:off x="1190625" y="981075"/>
              <a:ext cx="548640" cy="548640"/>
            </a:xfrm>
            <a:prstGeom prst="roundRect">
              <a:avLst/>
            </a:prstGeom>
            <a:solidFill>
              <a:schemeClr val="accent2"/>
            </a:solidFill>
            <a:ln w="9525" cap="flat" cmpd="sng" algn="ctr">
              <a:noFill/>
              <a:prstDash val="solid"/>
              <a:round/>
              <a:headEnd type="none" w="med" len="med"/>
              <a:tailEnd type="none" w="med" len="med"/>
            </a:ln>
            <a:effectLst>
              <a:outerShdw blurRad="107950" dist="12700" dir="5400000" algn="ctr">
                <a:srgbClr val="000000"/>
              </a:outerShdw>
            </a:effectLst>
            <a:scene3d>
              <a:camera prst="orthographicFront">
                <a:rot lat="0" lon="0" rev="0"/>
              </a:camera>
              <a:lightRig rig="soft" dir="t">
                <a:rot lat="0" lon="0" rev="0"/>
              </a:lightRig>
            </a:scene3d>
            <a:sp3d contourW="44450" prstMaterial="matte">
              <a:bevelT w="63500" h="63500" prst="artDeco"/>
              <a:contourClr>
                <a:srgbClr val="FFFFFF"/>
              </a:contourClr>
            </a:sp3d>
          </xdr:spPr>
          <xdr:txBody>
            <a:bodyPr vert="horz" wrap="square" lIns="0" tIns="0" rIns="0" bIns="0" numCol="1" rtlCol="0" anchor="t" anchorCtr="0" compatLnSpc="1">
              <a:prstTxWarp prst="textNoShape">
                <a:avLst/>
              </a:prstTxWarp>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231775" indent="-231775" algn="ctr"/>
              <a:endParaRPr lang="en-US" sz="1800" b="1">
                <a:solidFill>
                  <a:srgbClr val="FFFFFF"/>
                </a:solidFill>
                <a:latin typeface="Univers 57 Condensed" pitchFamily="2" charset="0"/>
                <a:cs typeface="Arial"/>
              </a:endParaRPr>
            </a:p>
          </xdr:txBody>
        </xdr:sp>
      </xdr:grpSp>
      <xdr:pic>
        <xdr:nvPicPr>
          <xdr:cNvPr id="17" name="Graphic 10" descr="Downward trend graph with solid fill">
            <a:hlinkClick xmlns:r="http://schemas.openxmlformats.org/officeDocument/2006/relationships" r:id="rId5"/>
            <a:extLst>
              <a:ext uri="{FF2B5EF4-FFF2-40B4-BE49-F238E27FC236}">
                <a16:creationId xmlns:a16="http://schemas.microsoft.com/office/drawing/2014/main" id="{F2F82893-8B67-C809-D46C-6F3DF701DDEF}"/>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6429375" y="304800"/>
            <a:ext cx="323850" cy="323850"/>
          </a:xfrm>
          <a:prstGeom prst="rect">
            <a:avLst/>
          </a:prstGeom>
        </xdr:spPr>
      </xdr:pic>
    </xdr:grpSp>
    <xdr:clientData/>
  </xdr:twoCellAnchor>
  <xdr:twoCellAnchor editAs="absolute">
    <xdr:from>
      <xdr:col>3</xdr:col>
      <xdr:colOff>133350</xdr:colOff>
      <xdr:row>1</xdr:row>
      <xdr:rowOff>85725</xdr:rowOff>
    </xdr:from>
    <xdr:to>
      <xdr:col>5</xdr:col>
      <xdr:colOff>194310</xdr:colOff>
      <xdr:row>4</xdr:row>
      <xdr:rowOff>53100</xdr:rowOff>
    </xdr:to>
    <xdr:sp macro="" textlink="">
      <xdr:nvSpPr>
        <xdr:cNvPr id="20" name="Arrow: Right 19">
          <a:hlinkClick xmlns:r="http://schemas.openxmlformats.org/officeDocument/2006/relationships" r:id="rId5"/>
          <a:extLst>
            <a:ext uri="{FF2B5EF4-FFF2-40B4-BE49-F238E27FC236}">
              <a16:creationId xmlns:a16="http://schemas.microsoft.com/office/drawing/2014/main" id="{00906D1E-AAA6-4C6E-A096-480C7EF8B5C3}"/>
            </a:ext>
          </a:extLst>
        </xdr:cNvPr>
        <xdr:cNvSpPr/>
      </xdr:nvSpPr>
      <xdr:spPr>
        <a:xfrm>
          <a:off x="3124200" y="228600"/>
          <a:ext cx="1280160" cy="396000"/>
        </a:xfrm>
        <a:prstGeom prst="rightArrow">
          <a:avLst/>
        </a:prstGeom>
        <a:solidFill>
          <a:schemeClr val="accent1"/>
        </a:solidFill>
        <a:ln>
          <a:noFill/>
        </a:ln>
        <a:effectLst>
          <a:outerShdw blurRad="107950" dist="12700" dir="5400000" algn="ctr">
            <a:srgbClr val="000000"/>
          </a:outerShdw>
        </a:effectLst>
        <a:scene3d>
          <a:camera prst="orthographicFront">
            <a:rot lat="0" lon="0" rev="0"/>
          </a:camera>
          <a:lightRig rig="soft" dir="t">
            <a:rot lat="0" lon="0" rev="0"/>
          </a:lightRig>
        </a:scene3d>
        <a:sp3d contourW="44450" prstMaterial="matte">
          <a:bevelT w="63500" h="63500" prst="artDeco"/>
          <a:contourClr>
            <a:srgbClr val="FFFFFF"/>
          </a:contourClr>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800" b="1">
              <a:latin typeface="Calibri" panose="020F0502020204030204" pitchFamily="34" charset="0"/>
              <a:ea typeface="Calibri" panose="020F0502020204030204" pitchFamily="34" charset="0"/>
              <a:cs typeface="Calibri" panose="020F0502020204030204" pitchFamily="34" charset="0"/>
            </a:rPr>
            <a:t>MEV DATA</a:t>
          </a:r>
          <a:endParaRPr lang="en-US" sz="800" b="1" baseline="0">
            <a:latin typeface="Calibri" panose="020F0502020204030204" pitchFamily="34" charset="0"/>
            <a:ea typeface="Calibri" panose="020F0502020204030204" pitchFamily="34" charset="0"/>
            <a:cs typeface="Calibri" panose="020F0502020204030204" pitchFamily="34" charset="0"/>
          </a:endParaRPr>
        </a:p>
      </xdr:txBody>
    </xdr:sp>
    <xdr:clientData/>
  </xdr:twoCellAnchor>
  <xdr:twoCellAnchor editAs="absolute">
    <xdr:from>
      <xdr:col>10</xdr:col>
      <xdr:colOff>233362</xdr:colOff>
      <xdr:row>1</xdr:row>
      <xdr:rowOff>76200</xdr:rowOff>
    </xdr:from>
    <xdr:to>
      <xdr:col>12</xdr:col>
      <xdr:colOff>294322</xdr:colOff>
      <xdr:row>4</xdr:row>
      <xdr:rowOff>43575</xdr:rowOff>
    </xdr:to>
    <xdr:sp macro="" textlink="">
      <xdr:nvSpPr>
        <xdr:cNvPr id="22" name="Arrow: Right 21">
          <a:hlinkClick xmlns:r="http://schemas.openxmlformats.org/officeDocument/2006/relationships" r:id="rId8"/>
          <a:extLst>
            <a:ext uri="{FF2B5EF4-FFF2-40B4-BE49-F238E27FC236}">
              <a16:creationId xmlns:a16="http://schemas.microsoft.com/office/drawing/2014/main" id="{34533F27-3A68-4C23-91FF-64D8723F71CA}"/>
            </a:ext>
          </a:extLst>
        </xdr:cNvPr>
        <xdr:cNvSpPr/>
      </xdr:nvSpPr>
      <xdr:spPr>
        <a:xfrm>
          <a:off x="7491412" y="219075"/>
          <a:ext cx="1280160" cy="396000"/>
        </a:xfrm>
        <a:prstGeom prst="rightArrow">
          <a:avLst/>
        </a:prstGeom>
        <a:solidFill>
          <a:schemeClr val="accent6"/>
        </a:solidFill>
        <a:ln>
          <a:noFill/>
        </a:ln>
        <a:effectLst>
          <a:outerShdw blurRad="107950" dist="12700" dir="5400000" algn="ctr">
            <a:srgbClr val="000000"/>
          </a:outerShdw>
        </a:effectLst>
        <a:scene3d>
          <a:camera prst="orthographicFront">
            <a:rot lat="0" lon="0" rev="0"/>
          </a:camera>
          <a:lightRig rig="soft" dir="t">
            <a:rot lat="0" lon="0" rev="0"/>
          </a:lightRig>
        </a:scene3d>
        <a:sp3d contourW="44450" prstMaterial="matte">
          <a:bevelT w="63500" h="63500" prst="artDeco"/>
          <a:contourClr>
            <a:srgbClr val="FFFFFF"/>
          </a:contourClr>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800" b="1">
              <a:latin typeface="Calibri" panose="020F0502020204030204" pitchFamily="34" charset="0"/>
              <a:ea typeface="Calibri" panose="020F0502020204030204" pitchFamily="34" charset="0"/>
              <a:cs typeface="Calibri" panose="020F0502020204030204" pitchFamily="34" charset="0"/>
            </a:rPr>
            <a:t>MEV SCENARIO</a:t>
          </a:r>
          <a:endParaRPr lang="en-US" sz="800" b="1" baseline="0">
            <a:latin typeface="Calibri" panose="020F0502020204030204" pitchFamily="34" charset="0"/>
            <a:ea typeface="Calibri" panose="020F0502020204030204" pitchFamily="34" charset="0"/>
            <a:cs typeface="Calibri" panose="020F0502020204030204" pitchFamily="34" charset="0"/>
          </a:endParaRPr>
        </a:p>
      </xdr:txBody>
    </xdr:sp>
    <xdr:clientData/>
  </xdr:twoCellAnchor>
  <xdr:twoCellAnchor editAs="absolute">
    <xdr:from>
      <xdr:col>7</xdr:col>
      <xdr:colOff>581025</xdr:colOff>
      <xdr:row>1</xdr:row>
      <xdr:rowOff>85725</xdr:rowOff>
    </xdr:from>
    <xdr:to>
      <xdr:col>10</xdr:col>
      <xdr:colOff>32385</xdr:colOff>
      <xdr:row>4</xdr:row>
      <xdr:rowOff>53100</xdr:rowOff>
    </xdr:to>
    <xdr:sp macro="" textlink="">
      <xdr:nvSpPr>
        <xdr:cNvPr id="23" name="Arrow: Right 22">
          <a:hlinkClick xmlns:r="http://schemas.openxmlformats.org/officeDocument/2006/relationships" r:id="rId9"/>
          <a:extLst>
            <a:ext uri="{FF2B5EF4-FFF2-40B4-BE49-F238E27FC236}">
              <a16:creationId xmlns:a16="http://schemas.microsoft.com/office/drawing/2014/main" id="{3FE56681-A155-4D66-9ED1-C54F1486A3ED}"/>
            </a:ext>
          </a:extLst>
        </xdr:cNvPr>
        <xdr:cNvSpPr/>
      </xdr:nvSpPr>
      <xdr:spPr>
        <a:xfrm>
          <a:off x="6010275" y="228600"/>
          <a:ext cx="1280160" cy="396000"/>
        </a:xfrm>
        <a:prstGeom prst="rightArrow">
          <a:avLst/>
        </a:prstGeom>
        <a:solidFill>
          <a:schemeClr val="accent1"/>
        </a:solidFill>
        <a:ln>
          <a:noFill/>
        </a:ln>
        <a:effectLst>
          <a:outerShdw blurRad="107950" dist="12700" dir="5400000" algn="ctr">
            <a:srgbClr val="000000"/>
          </a:outerShdw>
        </a:effectLst>
        <a:scene3d>
          <a:camera prst="orthographicFront">
            <a:rot lat="0" lon="0" rev="0"/>
          </a:camera>
          <a:lightRig rig="soft" dir="t">
            <a:rot lat="0" lon="0" rev="0"/>
          </a:lightRig>
        </a:scene3d>
        <a:sp3d contourW="44450" prstMaterial="matte">
          <a:bevelT w="63500" h="63500" prst="artDeco"/>
          <a:contourClr>
            <a:srgbClr val="FFFFFF"/>
          </a:contourClr>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800" b="1">
              <a:latin typeface="Calibri" panose="020F0502020204030204" pitchFamily="34" charset="0"/>
              <a:ea typeface="Calibri" panose="020F0502020204030204" pitchFamily="34" charset="0"/>
              <a:cs typeface="Calibri" panose="020F0502020204030204" pitchFamily="34" charset="0"/>
            </a:rPr>
            <a:t>MEV INDEX</a:t>
          </a:r>
          <a:endParaRPr lang="en-US" sz="800" b="1" baseline="0">
            <a:latin typeface="Calibri" panose="020F0502020204030204" pitchFamily="34" charset="0"/>
            <a:ea typeface="Calibri" panose="020F0502020204030204" pitchFamily="34" charset="0"/>
            <a:cs typeface="Calibri" panose="020F0502020204030204" pitchFamily="34" charset="0"/>
          </a:endParaRPr>
        </a:p>
      </xdr:txBody>
    </xdr:sp>
    <xdr:clientData/>
  </xdr:twoCellAnchor>
  <xdr:twoCellAnchor>
    <xdr:from>
      <xdr:col>0</xdr:col>
      <xdr:colOff>733425</xdr:colOff>
      <xdr:row>0</xdr:row>
      <xdr:rowOff>95250</xdr:rowOff>
    </xdr:from>
    <xdr:to>
      <xdr:col>1</xdr:col>
      <xdr:colOff>154051</xdr:colOff>
      <xdr:row>4</xdr:row>
      <xdr:rowOff>134754</xdr:rowOff>
    </xdr:to>
    <xdr:grpSp>
      <xdr:nvGrpSpPr>
        <xdr:cNvPr id="24" name="Group 23">
          <a:hlinkClick xmlns:r="http://schemas.openxmlformats.org/officeDocument/2006/relationships" r:id="rId10"/>
          <a:extLst>
            <a:ext uri="{FF2B5EF4-FFF2-40B4-BE49-F238E27FC236}">
              <a16:creationId xmlns:a16="http://schemas.microsoft.com/office/drawing/2014/main" id="{F9FAE390-566F-45A5-BEAA-A6214FEB26B5}"/>
            </a:ext>
          </a:extLst>
        </xdr:cNvPr>
        <xdr:cNvGrpSpPr/>
      </xdr:nvGrpSpPr>
      <xdr:grpSpPr>
        <a:xfrm>
          <a:off x="733425" y="95250"/>
          <a:ext cx="1192276" cy="611004"/>
          <a:chOff x="323851" y="104775"/>
          <a:chExt cx="1192276" cy="611004"/>
        </a:xfrm>
      </xdr:grpSpPr>
      <xdr:grpSp>
        <xdr:nvGrpSpPr>
          <xdr:cNvPr id="25" name="Group 24">
            <a:hlinkClick xmlns:r="http://schemas.openxmlformats.org/officeDocument/2006/relationships" r:id="rId11"/>
            <a:extLst>
              <a:ext uri="{FF2B5EF4-FFF2-40B4-BE49-F238E27FC236}">
                <a16:creationId xmlns:a16="http://schemas.microsoft.com/office/drawing/2014/main" id="{F2022144-7097-168E-100C-26D37D55A7FE}"/>
              </a:ext>
            </a:extLst>
          </xdr:cNvPr>
          <xdr:cNvGrpSpPr>
            <a:grpSpLocks/>
          </xdr:cNvGrpSpPr>
        </xdr:nvGrpSpPr>
        <xdr:grpSpPr>
          <a:xfrm>
            <a:off x="323851" y="114300"/>
            <a:ext cx="1192276" cy="601479"/>
            <a:chOff x="1016275" y="85726"/>
            <a:chExt cx="1472650" cy="770477"/>
          </a:xfrm>
        </xdr:grpSpPr>
        <xdr:sp macro="" textlink="">
          <xdr:nvSpPr>
            <xdr:cNvPr id="27" name="Rounded Rectangle 27">
              <a:extLst>
                <a:ext uri="{FF2B5EF4-FFF2-40B4-BE49-F238E27FC236}">
                  <a16:creationId xmlns:a16="http://schemas.microsoft.com/office/drawing/2014/main" id="{7A24940D-5C85-428A-8150-FBB6EEF78A5B}"/>
                </a:ext>
              </a:extLst>
            </xdr:cNvPr>
            <xdr:cNvSpPr/>
          </xdr:nvSpPr>
          <xdr:spPr bwMode="auto">
            <a:xfrm>
              <a:off x="1478280" y="85726"/>
              <a:ext cx="548640" cy="548638"/>
            </a:xfrm>
            <a:prstGeom prst="roundRect">
              <a:avLst/>
            </a:prstGeom>
            <a:solidFill>
              <a:schemeClr val="accent2"/>
            </a:solidFill>
            <a:ln w="9525" cap="flat" cmpd="sng" algn="ctr">
              <a:noFill/>
              <a:prstDash val="solid"/>
              <a:round/>
              <a:headEnd type="none" w="med" len="med"/>
              <a:tailEnd type="none" w="med" len="med"/>
            </a:ln>
            <a:effectLst>
              <a:outerShdw blurRad="107950" dist="12700" dir="5400000" algn="ctr">
                <a:srgbClr val="000000"/>
              </a:outerShdw>
            </a:effectLst>
            <a:scene3d>
              <a:camera prst="orthographicFront">
                <a:rot lat="0" lon="0" rev="0"/>
              </a:camera>
              <a:lightRig rig="soft" dir="t">
                <a:rot lat="0" lon="0" rev="0"/>
              </a:lightRig>
            </a:scene3d>
            <a:sp3d contourW="44450" prstMaterial="matte">
              <a:bevelT w="63500" h="63500" prst="artDeco"/>
              <a:contourClr>
                <a:srgbClr val="FFFFFF"/>
              </a:contourClr>
            </a:sp3d>
          </xdr:spPr>
          <xdr:txBody>
            <a:bodyPr vert="horz" wrap="square" lIns="0" tIns="0" rIns="0" bIns="0" numCol="1" rtlCol="0" anchor="t" anchorCtr="0" compatLnSpc="1">
              <a:prstTxWarp prst="textNoShape">
                <a:avLst/>
              </a:prstTxWarp>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231775" indent="-231775" algn="ctr"/>
              <a:endParaRPr lang="en-US" sz="1800" b="1">
                <a:solidFill>
                  <a:srgbClr val="FFFFFF"/>
                </a:solidFill>
                <a:latin typeface="Univers 57 Condensed" pitchFamily="2" charset="0"/>
                <a:cs typeface="Arial"/>
              </a:endParaRPr>
            </a:p>
          </xdr:txBody>
        </xdr:sp>
        <xdr:sp macro="" textlink="">
          <xdr:nvSpPr>
            <xdr:cNvPr id="28" name="TextBox 27">
              <a:extLst>
                <a:ext uri="{FF2B5EF4-FFF2-40B4-BE49-F238E27FC236}">
                  <a16:creationId xmlns:a16="http://schemas.microsoft.com/office/drawing/2014/main" id="{FCDF28BF-CB17-3154-A3E9-AE32507D933D}"/>
                </a:ext>
              </a:extLst>
            </xdr:cNvPr>
            <xdr:cNvSpPr txBox="1"/>
          </xdr:nvSpPr>
          <xdr:spPr>
            <a:xfrm>
              <a:off x="1016275" y="673323"/>
              <a:ext cx="1472650" cy="1828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800" b="1">
                  <a:solidFill>
                    <a:schemeClr val="bg1"/>
                  </a:solidFill>
                  <a:latin typeface="Calibri" panose="020F0502020204030204" pitchFamily="34" charset="0"/>
                  <a:ea typeface="Calibri" panose="020F0502020204030204" pitchFamily="34" charset="0"/>
                  <a:cs typeface="Calibri" panose="020F0502020204030204" pitchFamily="34" charset="0"/>
                </a:rPr>
                <a:t>Home</a:t>
              </a:r>
            </a:p>
          </xdr:txBody>
        </xdr:sp>
      </xdr:grpSp>
      <xdr:pic>
        <xdr:nvPicPr>
          <xdr:cNvPr id="26" name="Graphic 25" descr="Home outline">
            <a:extLst>
              <a:ext uri="{FF2B5EF4-FFF2-40B4-BE49-F238E27FC236}">
                <a16:creationId xmlns:a16="http://schemas.microsoft.com/office/drawing/2014/main" id="{F343BD82-4639-A8D0-DB52-5490EEAB2935}"/>
              </a:ext>
            </a:extLst>
          </xdr:cNvPr>
          <xdr:cNvPicPr>
            <a:picLocks noChangeAspect="1"/>
          </xdr:cNvPicPr>
        </xdr:nvPicPr>
        <xdr:blipFill>
          <a:blip xmlns:r="http://schemas.openxmlformats.org/officeDocument/2006/relationships" r:embed="rId12">
            <a:extLst>
              <a:ext uri="{96DAC541-7B7A-43D3-8B79-37D633B846F1}">
                <asvg:svgBlip xmlns:asvg="http://schemas.microsoft.com/office/drawing/2016/SVG/main" r:embed="rId13"/>
              </a:ext>
            </a:extLst>
          </a:blip>
          <a:stretch>
            <a:fillRect/>
          </a:stretch>
        </xdr:blipFill>
        <xdr:spPr>
          <a:xfrm>
            <a:off x="723900" y="104775"/>
            <a:ext cx="390525" cy="390525"/>
          </a:xfrm>
          <a:prstGeom prst="rect">
            <a:avLst/>
          </a:prstGeom>
        </xdr:spPr>
      </xdr:pic>
    </xdr:grpSp>
    <xdr:clientData/>
  </xdr:twoCellAnchor>
  <xdr:twoCellAnchor>
    <xdr:from>
      <xdr:col>12</xdr:col>
      <xdr:colOff>438150</xdr:colOff>
      <xdr:row>0</xdr:row>
      <xdr:rowOff>85725</xdr:rowOff>
    </xdr:from>
    <xdr:to>
      <xdr:col>14</xdr:col>
      <xdr:colOff>535931</xdr:colOff>
      <xdr:row>4</xdr:row>
      <xdr:rowOff>121513</xdr:rowOff>
    </xdr:to>
    <xdr:grpSp>
      <xdr:nvGrpSpPr>
        <xdr:cNvPr id="29" name="Group 28">
          <a:hlinkClick xmlns:r="http://schemas.openxmlformats.org/officeDocument/2006/relationships" r:id="rId14"/>
          <a:extLst>
            <a:ext uri="{FF2B5EF4-FFF2-40B4-BE49-F238E27FC236}">
              <a16:creationId xmlns:a16="http://schemas.microsoft.com/office/drawing/2014/main" id="{291DE00C-25A9-4889-B26B-1394702346A6}"/>
            </a:ext>
          </a:extLst>
        </xdr:cNvPr>
        <xdr:cNvGrpSpPr/>
      </xdr:nvGrpSpPr>
      <xdr:grpSpPr>
        <a:xfrm>
          <a:off x="8915400" y="85725"/>
          <a:ext cx="1316981" cy="607288"/>
          <a:chOff x="8776854" y="197427"/>
          <a:chExt cx="1316981" cy="607288"/>
        </a:xfrm>
      </xdr:grpSpPr>
      <xdr:grpSp>
        <xdr:nvGrpSpPr>
          <xdr:cNvPr id="30" name="Group 29">
            <a:hlinkClick xmlns:r="http://schemas.openxmlformats.org/officeDocument/2006/relationships" r:id="rId15"/>
            <a:extLst>
              <a:ext uri="{FF2B5EF4-FFF2-40B4-BE49-F238E27FC236}">
                <a16:creationId xmlns:a16="http://schemas.microsoft.com/office/drawing/2014/main" id="{E564CA6E-D322-188C-9519-3A67E5D7353F}"/>
              </a:ext>
            </a:extLst>
          </xdr:cNvPr>
          <xdr:cNvGrpSpPr>
            <a:grpSpLocks/>
          </xdr:cNvGrpSpPr>
        </xdr:nvGrpSpPr>
        <xdr:grpSpPr>
          <a:xfrm>
            <a:off x="8776854" y="197427"/>
            <a:ext cx="1316981" cy="607288"/>
            <a:chOff x="5655609" y="107836"/>
            <a:chExt cx="1316981" cy="607288"/>
          </a:xfrm>
        </xdr:grpSpPr>
        <xdr:sp macro="" textlink="">
          <xdr:nvSpPr>
            <xdr:cNvPr id="32" name="TextBox 31">
              <a:extLst>
                <a:ext uri="{FF2B5EF4-FFF2-40B4-BE49-F238E27FC236}">
                  <a16:creationId xmlns:a16="http://schemas.microsoft.com/office/drawing/2014/main" id="{A680D33F-5EAC-87A7-243B-6CDF2003FB8D}"/>
                </a:ext>
              </a:extLst>
            </xdr:cNvPr>
            <xdr:cNvSpPr txBox="1"/>
          </xdr:nvSpPr>
          <xdr:spPr>
            <a:xfrm>
              <a:off x="5655609" y="574456"/>
              <a:ext cx="1316981" cy="14066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800" b="1">
                  <a:solidFill>
                    <a:schemeClr val="bg1"/>
                  </a:solidFill>
                  <a:latin typeface="Calibri" panose="020F0502020204030204" pitchFamily="34" charset="0"/>
                  <a:ea typeface="Calibri" panose="020F0502020204030204" pitchFamily="34" charset="0"/>
                  <a:cs typeface="Calibri" panose="020F0502020204030204" pitchFamily="34" charset="0"/>
                </a:rPr>
                <a:t>PIT PD</a:t>
              </a:r>
            </a:p>
          </xdr:txBody>
        </xdr:sp>
        <xdr:sp macro="" textlink="">
          <xdr:nvSpPr>
            <xdr:cNvPr id="33" name="Rounded Rectangle 32">
              <a:extLst>
                <a:ext uri="{FF2B5EF4-FFF2-40B4-BE49-F238E27FC236}">
                  <a16:creationId xmlns:a16="http://schemas.microsoft.com/office/drawing/2014/main" id="{15811CA5-ECCC-16C6-F5FF-619129890DB1}"/>
                </a:ext>
              </a:extLst>
            </xdr:cNvPr>
            <xdr:cNvSpPr/>
          </xdr:nvSpPr>
          <xdr:spPr bwMode="auto">
            <a:xfrm>
              <a:off x="6097274" y="107836"/>
              <a:ext cx="446041" cy="422003"/>
            </a:xfrm>
            <a:prstGeom prst="roundRect">
              <a:avLst/>
            </a:prstGeom>
            <a:solidFill>
              <a:schemeClr val="accent2"/>
            </a:solidFill>
            <a:ln w="9525" cap="flat" cmpd="sng" algn="ctr">
              <a:noFill/>
              <a:prstDash val="solid"/>
              <a:round/>
              <a:headEnd type="none" w="med" len="med"/>
              <a:tailEnd type="none" w="med" len="med"/>
            </a:ln>
            <a:effectLst>
              <a:outerShdw blurRad="107950" dist="12700" dir="5400000" algn="ctr">
                <a:srgbClr val="000000"/>
              </a:outerShdw>
            </a:effectLst>
            <a:scene3d>
              <a:camera prst="orthographicFront">
                <a:rot lat="0" lon="0" rev="0"/>
              </a:camera>
              <a:lightRig rig="soft" dir="t">
                <a:rot lat="0" lon="0" rev="0"/>
              </a:lightRig>
            </a:scene3d>
            <a:sp3d contourW="44450" prstMaterial="matte">
              <a:bevelT w="63500" h="63500" prst="artDeco"/>
              <a:contourClr>
                <a:srgbClr val="FFFFFF"/>
              </a:contourClr>
            </a:sp3d>
          </xdr:spPr>
          <xdr:txBody>
            <a:bodyPr vert="horz" wrap="square" lIns="0" tIns="0" rIns="0" bIns="0" numCol="1" rtlCol="0" anchor="t" anchorCtr="0" compatLnSpc="1">
              <a:prstTxWarp prst="textNoShape">
                <a:avLst/>
              </a:prstTxWarp>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231775" indent="-231775" algn="ctr"/>
              <a:endParaRPr lang="en-US" sz="1800" b="1">
                <a:solidFill>
                  <a:srgbClr val="FFFFFF"/>
                </a:solidFill>
                <a:latin typeface="Univers 57 Condensed" pitchFamily="2" charset="0"/>
                <a:cs typeface="Arial"/>
              </a:endParaRPr>
            </a:p>
          </xdr:txBody>
        </xdr:sp>
      </xdr:grpSp>
      <xdr:pic>
        <xdr:nvPicPr>
          <xdr:cNvPr id="31" name="Graphic 12" descr="Bar graph with downward trend with solid fill">
            <a:extLst>
              <a:ext uri="{FF2B5EF4-FFF2-40B4-BE49-F238E27FC236}">
                <a16:creationId xmlns:a16="http://schemas.microsoft.com/office/drawing/2014/main" id="{2FC920AC-6F1A-1F15-BDBE-88BD9BDFD37F}"/>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9300729" y="244186"/>
            <a:ext cx="314325" cy="314325"/>
          </a:xfrm>
          <a:prstGeom prst="rect">
            <a:avLst/>
          </a:prstGeom>
        </xdr:spPr>
      </xdr:pic>
    </xdr:grpSp>
    <xdr:clientData/>
  </xdr:twoCellAnchor>
</xdr:wsDr>
</file>

<file path=xl/drawings/drawing7.xml><?xml version="1.0" encoding="utf-8"?>
<xdr:wsDr xmlns:xdr="http://schemas.openxmlformats.org/drawingml/2006/spreadsheetDrawing" xmlns:a="http://schemas.openxmlformats.org/drawingml/2006/main">
  <xdr:twoCellAnchor editAs="oneCell">
    <xdr:from>
      <xdr:col>5</xdr:col>
      <xdr:colOff>303213</xdr:colOff>
      <xdr:row>1</xdr:row>
      <xdr:rowOff>146050</xdr:rowOff>
    </xdr:from>
    <xdr:to>
      <xdr:col>6</xdr:col>
      <xdr:colOff>12304</xdr:colOff>
      <xdr:row>3</xdr:row>
      <xdr:rowOff>83344</xdr:rowOff>
    </xdr:to>
    <xdr:pic>
      <xdr:nvPicPr>
        <xdr:cNvPr id="11" name="Graphic 12" descr="Bar graph with downward trend with solid fill">
          <a:extLst>
            <a:ext uri="{FF2B5EF4-FFF2-40B4-BE49-F238E27FC236}">
              <a16:creationId xmlns:a16="http://schemas.microsoft.com/office/drawing/2014/main" id="{11AE2DA5-2D19-4A40-9A96-6ED53EEAD368}"/>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4303713" y="336550"/>
          <a:ext cx="318691" cy="318294"/>
        </a:xfrm>
        <a:prstGeom prst="rect">
          <a:avLst/>
        </a:prstGeom>
      </xdr:spPr>
    </xdr:pic>
    <xdr:clientData/>
  </xdr:twoCellAnchor>
  <xdr:twoCellAnchor editAs="absolute">
    <xdr:from>
      <xdr:col>0</xdr:col>
      <xdr:colOff>0</xdr:colOff>
      <xdr:row>0</xdr:row>
      <xdr:rowOff>0</xdr:rowOff>
    </xdr:from>
    <xdr:to>
      <xdr:col>31</xdr:col>
      <xdr:colOff>448988</xdr:colOff>
      <xdr:row>4</xdr:row>
      <xdr:rowOff>26987</xdr:rowOff>
    </xdr:to>
    <xdr:sp macro="" textlink="">
      <xdr:nvSpPr>
        <xdr:cNvPr id="20" name="Rectangle 19">
          <a:extLst>
            <a:ext uri="{FF2B5EF4-FFF2-40B4-BE49-F238E27FC236}">
              <a16:creationId xmlns:a16="http://schemas.microsoft.com/office/drawing/2014/main" id="{740D7537-3F32-40F1-A656-97A405EA1A73}"/>
            </a:ext>
          </a:extLst>
        </xdr:cNvPr>
        <xdr:cNvSpPr>
          <a:spLocks/>
        </xdr:cNvSpPr>
      </xdr:nvSpPr>
      <xdr:spPr>
        <a:xfrm>
          <a:off x="0" y="0"/>
          <a:ext cx="20171172" cy="781050"/>
        </a:xfrm>
        <a:prstGeom prst="rect">
          <a:avLst/>
        </a:prstGeom>
        <a:solidFill>
          <a:srgbClr val="0C769E"/>
        </a:solidFill>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algn="l"/>
          <a:endParaRPr lang="en-US" sz="1100"/>
        </a:p>
      </xdr:txBody>
    </xdr:sp>
    <xdr:clientData/>
  </xdr:twoCellAnchor>
  <xdr:twoCellAnchor>
    <xdr:from>
      <xdr:col>7</xdr:col>
      <xdr:colOff>159946</xdr:colOff>
      <xdr:row>0</xdr:row>
      <xdr:rowOff>109139</xdr:rowOff>
    </xdr:from>
    <xdr:to>
      <xdr:col>9</xdr:col>
      <xdr:colOff>266459</xdr:colOff>
      <xdr:row>3</xdr:row>
      <xdr:rowOff>150881</xdr:rowOff>
    </xdr:to>
    <xdr:grpSp>
      <xdr:nvGrpSpPr>
        <xdr:cNvPr id="21" name="Group 20">
          <a:extLst>
            <a:ext uri="{FF2B5EF4-FFF2-40B4-BE49-F238E27FC236}">
              <a16:creationId xmlns:a16="http://schemas.microsoft.com/office/drawing/2014/main" id="{287B5683-8CE5-4DAB-A939-FEB255BC5F09}"/>
            </a:ext>
          </a:extLst>
        </xdr:cNvPr>
        <xdr:cNvGrpSpPr/>
      </xdr:nvGrpSpPr>
      <xdr:grpSpPr>
        <a:xfrm>
          <a:off x="5367539" y="109139"/>
          <a:ext cx="1317168" cy="602560"/>
          <a:chOff x="5934075" y="276225"/>
          <a:chExt cx="1316981" cy="607289"/>
        </a:xfrm>
      </xdr:grpSpPr>
      <xdr:grpSp>
        <xdr:nvGrpSpPr>
          <xdr:cNvPr id="22" name="Group 21">
            <a:extLst>
              <a:ext uri="{FF2B5EF4-FFF2-40B4-BE49-F238E27FC236}">
                <a16:creationId xmlns:a16="http://schemas.microsoft.com/office/drawing/2014/main" id="{28EF10B3-DFD1-4D18-3A98-77A35F9F7B4D}"/>
              </a:ext>
            </a:extLst>
          </xdr:cNvPr>
          <xdr:cNvGrpSpPr>
            <a:grpSpLocks/>
          </xdr:cNvGrpSpPr>
        </xdr:nvGrpSpPr>
        <xdr:grpSpPr>
          <a:xfrm>
            <a:off x="5934075" y="276225"/>
            <a:ext cx="1316981" cy="607289"/>
            <a:chOff x="647368" y="981075"/>
            <a:chExt cx="1619915" cy="789528"/>
          </a:xfrm>
        </xdr:grpSpPr>
        <xdr:sp macro="" textlink="">
          <xdr:nvSpPr>
            <xdr:cNvPr id="24" name="TextBox 23">
              <a:extLst>
                <a:ext uri="{FF2B5EF4-FFF2-40B4-BE49-F238E27FC236}">
                  <a16:creationId xmlns:a16="http://schemas.microsoft.com/office/drawing/2014/main" id="{1858A968-40DA-3213-29B4-9916C6F6426C}"/>
                </a:ext>
              </a:extLst>
            </xdr:cNvPr>
            <xdr:cNvSpPr txBox="1"/>
          </xdr:nvSpPr>
          <xdr:spPr>
            <a:xfrm>
              <a:off x="647368" y="1587723"/>
              <a:ext cx="1619915" cy="1828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800" b="1">
                  <a:solidFill>
                    <a:schemeClr val="bg1"/>
                  </a:solidFill>
                  <a:latin typeface="Calibri" panose="020F0502020204030204" pitchFamily="34" charset="0"/>
                  <a:ea typeface="Calibri" panose="020F0502020204030204" pitchFamily="34" charset="0"/>
                  <a:cs typeface="Calibri" panose="020F0502020204030204" pitchFamily="34" charset="0"/>
                </a:rPr>
                <a:t>MEV</a:t>
              </a:r>
            </a:p>
          </xdr:txBody>
        </xdr:sp>
        <xdr:sp macro="" textlink="">
          <xdr:nvSpPr>
            <xdr:cNvPr id="25" name="Rounded Rectangle 32">
              <a:extLst>
                <a:ext uri="{FF2B5EF4-FFF2-40B4-BE49-F238E27FC236}">
                  <a16:creationId xmlns:a16="http://schemas.microsoft.com/office/drawing/2014/main" id="{00E1489D-F766-6F8E-73C1-EA07D278166A}"/>
                </a:ext>
              </a:extLst>
            </xdr:cNvPr>
            <xdr:cNvSpPr/>
          </xdr:nvSpPr>
          <xdr:spPr bwMode="auto">
            <a:xfrm>
              <a:off x="1190625" y="981075"/>
              <a:ext cx="548640" cy="548640"/>
            </a:xfrm>
            <a:prstGeom prst="roundRect">
              <a:avLst/>
            </a:prstGeom>
            <a:solidFill>
              <a:schemeClr val="accent2"/>
            </a:solidFill>
            <a:ln w="9525" cap="flat" cmpd="sng" algn="ctr">
              <a:noFill/>
              <a:prstDash val="solid"/>
              <a:round/>
              <a:headEnd type="none" w="med" len="med"/>
              <a:tailEnd type="none" w="med" len="med"/>
            </a:ln>
            <a:effectLst>
              <a:outerShdw blurRad="107950" dist="12700" dir="5400000" algn="ctr">
                <a:srgbClr val="000000"/>
              </a:outerShdw>
            </a:effectLst>
            <a:scene3d>
              <a:camera prst="orthographicFront">
                <a:rot lat="0" lon="0" rev="0"/>
              </a:camera>
              <a:lightRig rig="soft" dir="t">
                <a:rot lat="0" lon="0" rev="0"/>
              </a:lightRig>
            </a:scene3d>
            <a:sp3d contourW="44450" prstMaterial="matte">
              <a:bevelT w="63500" h="63500" prst="artDeco"/>
              <a:contourClr>
                <a:srgbClr val="FFFFFF"/>
              </a:contourClr>
            </a:sp3d>
          </xdr:spPr>
          <xdr:txBody>
            <a:bodyPr vert="horz" wrap="square" lIns="0" tIns="0" rIns="0" bIns="0" numCol="1" rtlCol="0" anchor="t" anchorCtr="0" compatLnSpc="1">
              <a:prstTxWarp prst="textNoShape">
                <a:avLst/>
              </a:prstTxWarp>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231775" indent="-231775" algn="ctr"/>
              <a:endParaRPr lang="en-US" sz="1800" b="1">
                <a:solidFill>
                  <a:srgbClr val="FFFFFF"/>
                </a:solidFill>
                <a:latin typeface="Univers 57 Condensed" pitchFamily="2" charset="0"/>
                <a:cs typeface="Arial"/>
              </a:endParaRPr>
            </a:p>
          </xdr:txBody>
        </xdr:sp>
      </xdr:grpSp>
      <xdr:pic>
        <xdr:nvPicPr>
          <xdr:cNvPr id="23" name="Graphic 10" descr="Downward trend graph with solid fill">
            <a:hlinkClick xmlns:r="http://schemas.openxmlformats.org/officeDocument/2006/relationships" r:id="rId3"/>
            <a:extLst>
              <a:ext uri="{FF2B5EF4-FFF2-40B4-BE49-F238E27FC236}">
                <a16:creationId xmlns:a16="http://schemas.microsoft.com/office/drawing/2014/main" id="{B0CD666E-E32F-4125-3C22-B554E233E0BE}"/>
              </a:ext>
            </a:extLst>
          </xdr:cNvPr>
          <xdr:cNvPicPr>
            <a:picLocks noChangeAspect="1"/>
          </xdr:cNvPicPr>
        </xdr:nvPicPr>
        <xdr:blipFill>
          <a:blip xmlns:r="http://schemas.openxmlformats.org/officeDocument/2006/relationships" r:embed="rId4">
            <a:extLst>
              <a:ext uri="{96DAC541-7B7A-43D3-8B79-37D633B846F1}">
                <asvg:svgBlip xmlns:asvg="http://schemas.microsoft.com/office/drawing/2016/SVG/main" r:embed="rId5"/>
              </a:ext>
            </a:extLst>
          </a:blip>
          <a:stretch>
            <a:fillRect/>
          </a:stretch>
        </xdr:blipFill>
        <xdr:spPr>
          <a:xfrm>
            <a:off x="6429375" y="304800"/>
            <a:ext cx="323850" cy="323850"/>
          </a:xfrm>
          <a:prstGeom prst="rect">
            <a:avLst/>
          </a:prstGeom>
        </xdr:spPr>
      </xdr:pic>
    </xdr:grpSp>
    <xdr:clientData/>
  </xdr:twoCellAnchor>
  <xdr:twoCellAnchor>
    <xdr:from>
      <xdr:col>3</xdr:col>
      <xdr:colOff>584605</xdr:colOff>
      <xdr:row>0</xdr:row>
      <xdr:rowOff>85328</xdr:rowOff>
    </xdr:from>
    <xdr:to>
      <xdr:col>5</xdr:col>
      <xdr:colOff>328287</xdr:colOff>
      <xdr:row>3</xdr:row>
      <xdr:rowOff>130785</xdr:rowOff>
    </xdr:to>
    <xdr:grpSp>
      <xdr:nvGrpSpPr>
        <xdr:cNvPr id="26" name="Group 25">
          <a:hlinkClick xmlns:r="http://schemas.openxmlformats.org/officeDocument/2006/relationships" r:id="rId6"/>
          <a:extLst>
            <a:ext uri="{FF2B5EF4-FFF2-40B4-BE49-F238E27FC236}">
              <a16:creationId xmlns:a16="http://schemas.microsoft.com/office/drawing/2014/main" id="{32B44A09-2606-44C1-A8C7-49505425BC68}"/>
            </a:ext>
          </a:extLst>
        </xdr:cNvPr>
        <xdr:cNvGrpSpPr/>
      </xdr:nvGrpSpPr>
      <xdr:grpSpPr>
        <a:xfrm>
          <a:off x="3121638" y="85328"/>
          <a:ext cx="1203588" cy="606275"/>
          <a:chOff x="323851" y="104775"/>
          <a:chExt cx="1192276" cy="611004"/>
        </a:xfrm>
      </xdr:grpSpPr>
      <xdr:grpSp>
        <xdr:nvGrpSpPr>
          <xdr:cNvPr id="27" name="Group 26">
            <a:hlinkClick xmlns:r="http://schemas.openxmlformats.org/officeDocument/2006/relationships" r:id="rId7"/>
            <a:extLst>
              <a:ext uri="{FF2B5EF4-FFF2-40B4-BE49-F238E27FC236}">
                <a16:creationId xmlns:a16="http://schemas.microsoft.com/office/drawing/2014/main" id="{2885B8E5-6B12-8F2F-4FCD-503CE549787A}"/>
              </a:ext>
            </a:extLst>
          </xdr:cNvPr>
          <xdr:cNvGrpSpPr>
            <a:grpSpLocks/>
          </xdr:cNvGrpSpPr>
        </xdr:nvGrpSpPr>
        <xdr:grpSpPr>
          <a:xfrm>
            <a:off x="323851" y="114300"/>
            <a:ext cx="1192276" cy="601479"/>
            <a:chOff x="1016275" y="85726"/>
            <a:chExt cx="1472650" cy="770477"/>
          </a:xfrm>
        </xdr:grpSpPr>
        <xdr:sp macro="" textlink="">
          <xdr:nvSpPr>
            <xdr:cNvPr id="29" name="Rounded Rectangle 27">
              <a:extLst>
                <a:ext uri="{FF2B5EF4-FFF2-40B4-BE49-F238E27FC236}">
                  <a16:creationId xmlns:a16="http://schemas.microsoft.com/office/drawing/2014/main" id="{BFF1A349-2C5D-17AD-562D-32D98F982E9A}"/>
                </a:ext>
              </a:extLst>
            </xdr:cNvPr>
            <xdr:cNvSpPr/>
          </xdr:nvSpPr>
          <xdr:spPr bwMode="auto">
            <a:xfrm>
              <a:off x="1478280" y="85726"/>
              <a:ext cx="548640" cy="548638"/>
            </a:xfrm>
            <a:prstGeom prst="roundRect">
              <a:avLst/>
            </a:prstGeom>
            <a:solidFill>
              <a:schemeClr val="accent2"/>
            </a:solidFill>
            <a:ln w="9525" cap="flat" cmpd="sng" algn="ctr">
              <a:noFill/>
              <a:prstDash val="solid"/>
              <a:round/>
              <a:headEnd type="none" w="med" len="med"/>
              <a:tailEnd type="none" w="med" len="med"/>
            </a:ln>
            <a:effectLst>
              <a:outerShdw blurRad="107950" dist="12700" dir="5400000" algn="ctr">
                <a:srgbClr val="000000"/>
              </a:outerShdw>
            </a:effectLst>
            <a:scene3d>
              <a:camera prst="orthographicFront">
                <a:rot lat="0" lon="0" rev="0"/>
              </a:camera>
              <a:lightRig rig="soft" dir="t">
                <a:rot lat="0" lon="0" rev="0"/>
              </a:lightRig>
            </a:scene3d>
            <a:sp3d contourW="44450" prstMaterial="matte">
              <a:bevelT w="63500" h="63500" prst="artDeco"/>
              <a:contourClr>
                <a:srgbClr val="FFFFFF"/>
              </a:contourClr>
            </a:sp3d>
          </xdr:spPr>
          <xdr:txBody>
            <a:bodyPr vert="horz" wrap="square" lIns="0" tIns="0" rIns="0" bIns="0" numCol="1" rtlCol="0" anchor="t" anchorCtr="0" compatLnSpc="1">
              <a:prstTxWarp prst="textNoShape">
                <a:avLst/>
              </a:prstTxWarp>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231775" indent="-231775" algn="ctr"/>
              <a:endParaRPr lang="en-US" sz="1800" b="1">
                <a:solidFill>
                  <a:srgbClr val="FFFFFF"/>
                </a:solidFill>
                <a:latin typeface="Univers 57 Condensed" pitchFamily="2" charset="0"/>
                <a:cs typeface="Arial"/>
              </a:endParaRPr>
            </a:p>
          </xdr:txBody>
        </xdr:sp>
        <xdr:sp macro="" textlink="">
          <xdr:nvSpPr>
            <xdr:cNvPr id="30" name="TextBox 29">
              <a:extLst>
                <a:ext uri="{FF2B5EF4-FFF2-40B4-BE49-F238E27FC236}">
                  <a16:creationId xmlns:a16="http://schemas.microsoft.com/office/drawing/2014/main" id="{92F42545-CC8C-8AAF-E632-00ED840D9368}"/>
                </a:ext>
              </a:extLst>
            </xdr:cNvPr>
            <xdr:cNvSpPr txBox="1"/>
          </xdr:nvSpPr>
          <xdr:spPr>
            <a:xfrm>
              <a:off x="1016275" y="673323"/>
              <a:ext cx="1472650" cy="1828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800" b="1">
                  <a:solidFill>
                    <a:schemeClr val="bg1"/>
                  </a:solidFill>
                  <a:latin typeface="Calibri" panose="020F0502020204030204" pitchFamily="34" charset="0"/>
                  <a:ea typeface="Calibri" panose="020F0502020204030204" pitchFamily="34" charset="0"/>
                  <a:cs typeface="Calibri" panose="020F0502020204030204" pitchFamily="34" charset="0"/>
                </a:rPr>
                <a:t>Home</a:t>
              </a:r>
            </a:p>
          </xdr:txBody>
        </xdr:sp>
      </xdr:grpSp>
      <xdr:pic>
        <xdr:nvPicPr>
          <xdr:cNvPr id="28" name="Graphic 27" descr="Home outline">
            <a:extLst>
              <a:ext uri="{FF2B5EF4-FFF2-40B4-BE49-F238E27FC236}">
                <a16:creationId xmlns:a16="http://schemas.microsoft.com/office/drawing/2014/main" id="{5D0770B2-369A-1EF4-0486-BA1A388BBA25}"/>
              </a:ext>
            </a:extLst>
          </xdr:cNvPr>
          <xdr:cNvPicPr>
            <a:picLocks noChangeAspect="1"/>
          </xdr:cNvPicPr>
        </xdr:nvPicPr>
        <xdr:blipFill>
          <a:blip xmlns:r="http://schemas.openxmlformats.org/officeDocument/2006/relationships" r:embed="rId8">
            <a:extLst>
              <a:ext uri="{96DAC541-7B7A-43D3-8B79-37D633B846F1}">
                <asvg:svgBlip xmlns:asvg="http://schemas.microsoft.com/office/drawing/2016/SVG/main" r:embed="rId9"/>
              </a:ext>
            </a:extLst>
          </a:blip>
          <a:stretch>
            <a:fillRect/>
          </a:stretch>
        </xdr:blipFill>
        <xdr:spPr>
          <a:xfrm>
            <a:off x="723900" y="104775"/>
            <a:ext cx="390525" cy="390525"/>
          </a:xfrm>
          <a:prstGeom prst="rect">
            <a:avLst/>
          </a:prstGeom>
        </xdr:spPr>
      </xdr:pic>
    </xdr:grpSp>
    <xdr:clientData/>
  </xdr:twoCellAnchor>
  <xdr:twoCellAnchor>
    <xdr:from>
      <xdr:col>9</xdr:col>
      <xdr:colOff>128186</xdr:colOff>
      <xdr:row>0</xdr:row>
      <xdr:rowOff>109139</xdr:rowOff>
    </xdr:from>
    <xdr:to>
      <xdr:col>11</xdr:col>
      <xdr:colOff>0</xdr:colOff>
      <xdr:row>3</xdr:row>
      <xdr:rowOff>150880</xdr:rowOff>
    </xdr:to>
    <xdr:grpSp>
      <xdr:nvGrpSpPr>
        <xdr:cNvPr id="2" name="Group 30">
          <a:hlinkClick xmlns:r="http://schemas.openxmlformats.org/officeDocument/2006/relationships" r:id="rId10"/>
          <a:extLst>
            <a:ext uri="{FF2B5EF4-FFF2-40B4-BE49-F238E27FC236}">
              <a16:creationId xmlns:a16="http://schemas.microsoft.com/office/drawing/2014/main" id="{4AA3C71C-5AA9-4FFD-9262-D058C947E22E}"/>
            </a:ext>
          </a:extLst>
        </xdr:cNvPr>
        <xdr:cNvGrpSpPr/>
      </xdr:nvGrpSpPr>
      <xdr:grpSpPr>
        <a:xfrm>
          <a:off x="6546434" y="109139"/>
          <a:ext cx="1082468" cy="602559"/>
          <a:chOff x="8776854" y="197427"/>
          <a:chExt cx="1316981" cy="607288"/>
        </a:xfrm>
      </xdr:grpSpPr>
      <xdr:grpSp>
        <xdr:nvGrpSpPr>
          <xdr:cNvPr id="3" name="Group 31">
            <a:hlinkClick xmlns:r="http://schemas.openxmlformats.org/officeDocument/2006/relationships" r:id="rId11"/>
            <a:extLst>
              <a:ext uri="{FF2B5EF4-FFF2-40B4-BE49-F238E27FC236}">
                <a16:creationId xmlns:a16="http://schemas.microsoft.com/office/drawing/2014/main" id="{54DDB5BB-50A2-4AF1-5684-256DD8FE7BE8}"/>
              </a:ext>
            </a:extLst>
          </xdr:cNvPr>
          <xdr:cNvGrpSpPr>
            <a:grpSpLocks/>
          </xdr:cNvGrpSpPr>
        </xdr:nvGrpSpPr>
        <xdr:grpSpPr>
          <a:xfrm>
            <a:off x="8776854" y="197427"/>
            <a:ext cx="1316981" cy="607288"/>
            <a:chOff x="5655609" y="107836"/>
            <a:chExt cx="1316981" cy="607288"/>
          </a:xfrm>
        </xdr:grpSpPr>
        <xdr:sp macro="" textlink="">
          <xdr:nvSpPr>
            <xdr:cNvPr id="4" name="TextBox 33">
              <a:extLst>
                <a:ext uri="{FF2B5EF4-FFF2-40B4-BE49-F238E27FC236}">
                  <a16:creationId xmlns:a16="http://schemas.microsoft.com/office/drawing/2014/main" id="{67AD0000-6DCB-FC5A-A497-639822547F0F}"/>
                </a:ext>
              </a:extLst>
            </xdr:cNvPr>
            <xdr:cNvSpPr txBox="1"/>
          </xdr:nvSpPr>
          <xdr:spPr>
            <a:xfrm>
              <a:off x="5655609" y="574456"/>
              <a:ext cx="1316981" cy="14066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800" b="1">
                  <a:solidFill>
                    <a:schemeClr val="bg1"/>
                  </a:solidFill>
                  <a:latin typeface="Calibri" panose="020F0502020204030204" pitchFamily="34" charset="0"/>
                  <a:ea typeface="Calibri" panose="020F0502020204030204" pitchFamily="34" charset="0"/>
                  <a:cs typeface="Calibri" panose="020F0502020204030204" pitchFamily="34" charset="0"/>
                </a:rPr>
                <a:t>PIT PD</a:t>
              </a:r>
            </a:p>
          </xdr:txBody>
        </xdr:sp>
        <xdr:sp macro="" textlink="">
          <xdr:nvSpPr>
            <xdr:cNvPr id="5" name="Rounded Rectangle 32">
              <a:extLst>
                <a:ext uri="{FF2B5EF4-FFF2-40B4-BE49-F238E27FC236}">
                  <a16:creationId xmlns:a16="http://schemas.microsoft.com/office/drawing/2014/main" id="{3AEA30B0-B63D-4E0E-E8DB-51B7490AFC7A}"/>
                </a:ext>
              </a:extLst>
            </xdr:cNvPr>
            <xdr:cNvSpPr/>
          </xdr:nvSpPr>
          <xdr:spPr bwMode="auto">
            <a:xfrm>
              <a:off x="6097274" y="107836"/>
              <a:ext cx="446041" cy="422003"/>
            </a:xfrm>
            <a:prstGeom prst="roundRect">
              <a:avLst/>
            </a:prstGeom>
            <a:solidFill>
              <a:schemeClr val="accent2"/>
            </a:solidFill>
            <a:ln w="9525" cap="flat" cmpd="sng" algn="ctr">
              <a:noFill/>
              <a:prstDash val="solid"/>
              <a:round/>
              <a:headEnd type="none" w="med" len="med"/>
              <a:tailEnd type="none" w="med" len="med"/>
            </a:ln>
            <a:effectLst>
              <a:outerShdw blurRad="107950" dist="12700" dir="5400000" algn="ctr">
                <a:srgbClr val="000000"/>
              </a:outerShdw>
            </a:effectLst>
            <a:scene3d>
              <a:camera prst="orthographicFront">
                <a:rot lat="0" lon="0" rev="0"/>
              </a:camera>
              <a:lightRig rig="soft" dir="t">
                <a:rot lat="0" lon="0" rev="0"/>
              </a:lightRig>
            </a:scene3d>
            <a:sp3d contourW="44450" prstMaterial="matte">
              <a:bevelT w="63500" h="63500" prst="artDeco"/>
              <a:contourClr>
                <a:srgbClr val="FFFFFF"/>
              </a:contourClr>
            </a:sp3d>
          </xdr:spPr>
          <xdr:txBody>
            <a:bodyPr vert="horz" wrap="square" lIns="0" tIns="0" rIns="0" bIns="0" numCol="1" rtlCol="0" anchor="t" anchorCtr="0" compatLnSpc="1">
              <a:prstTxWarp prst="textNoShape">
                <a:avLst/>
              </a:prstTxWarp>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231775" indent="-231775" algn="ctr"/>
              <a:endParaRPr lang="en-US" sz="1800" b="1">
                <a:solidFill>
                  <a:srgbClr val="FFFFFF"/>
                </a:solidFill>
                <a:latin typeface="Univers 57 Condensed" pitchFamily="2" charset="0"/>
                <a:cs typeface="Arial"/>
              </a:endParaRPr>
            </a:p>
          </xdr:txBody>
        </xdr:sp>
      </xdr:grpSp>
      <xdr:pic>
        <xdr:nvPicPr>
          <xdr:cNvPr id="6" name="Graphic 12" descr="Bar graph with downward trend with solid fill">
            <a:extLst>
              <a:ext uri="{FF2B5EF4-FFF2-40B4-BE49-F238E27FC236}">
                <a16:creationId xmlns:a16="http://schemas.microsoft.com/office/drawing/2014/main" id="{BF1974C8-23B7-7AF5-3C94-213E6AE43EE7}"/>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9300729" y="244186"/>
            <a:ext cx="314325" cy="314325"/>
          </a:xfrm>
          <a:prstGeom prst="rect">
            <a:avLst/>
          </a:prstGeom>
        </xdr:spPr>
      </xdr:pic>
    </xdr:grpSp>
    <xdr:clientData/>
  </xdr:twoCellAnchor>
  <xdr:twoCellAnchor editAs="absolute">
    <xdr:from>
      <xdr:col>5</xdr:col>
      <xdr:colOff>286946</xdr:colOff>
      <xdr:row>0</xdr:row>
      <xdr:rowOff>105171</xdr:rowOff>
    </xdr:from>
    <xdr:to>
      <xdr:col>7</xdr:col>
      <xdr:colOff>268753</xdr:colOff>
      <xdr:row>3</xdr:row>
      <xdr:rowOff>141103</xdr:rowOff>
    </xdr:to>
    <xdr:grpSp>
      <xdr:nvGrpSpPr>
        <xdr:cNvPr id="36" name="Group 35">
          <a:hlinkClick xmlns:r="http://schemas.openxmlformats.org/officeDocument/2006/relationships" r:id="rId12"/>
          <a:extLst>
            <a:ext uri="{FF2B5EF4-FFF2-40B4-BE49-F238E27FC236}">
              <a16:creationId xmlns:a16="http://schemas.microsoft.com/office/drawing/2014/main" id="{2C7C6C52-578B-45E8-B1BE-6B06B50C532B}"/>
            </a:ext>
          </a:extLst>
        </xdr:cNvPr>
        <xdr:cNvGrpSpPr>
          <a:grpSpLocks/>
        </xdr:cNvGrpSpPr>
      </xdr:nvGrpSpPr>
      <xdr:grpSpPr>
        <a:xfrm>
          <a:off x="4283885" y="105171"/>
          <a:ext cx="1192461" cy="596750"/>
          <a:chOff x="1016275" y="85726"/>
          <a:chExt cx="1472650" cy="770477"/>
        </a:xfrm>
      </xdr:grpSpPr>
      <xdr:sp macro="" textlink="">
        <xdr:nvSpPr>
          <xdr:cNvPr id="37" name="Rounded Rectangle 27">
            <a:extLst>
              <a:ext uri="{FF2B5EF4-FFF2-40B4-BE49-F238E27FC236}">
                <a16:creationId xmlns:a16="http://schemas.microsoft.com/office/drawing/2014/main" id="{174B1100-00B1-6B37-C27F-795BE8516521}"/>
              </a:ext>
            </a:extLst>
          </xdr:cNvPr>
          <xdr:cNvSpPr/>
        </xdr:nvSpPr>
        <xdr:spPr bwMode="auto">
          <a:xfrm>
            <a:off x="1478280" y="85726"/>
            <a:ext cx="548640" cy="548638"/>
          </a:xfrm>
          <a:prstGeom prst="roundRect">
            <a:avLst/>
          </a:prstGeom>
          <a:solidFill>
            <a:schemeClr val="accent2"/>
          </a:solidFill>
          <a:ln w="9525" cap="flat" cmpd="sng" algn="ctr">
            <a:noFill/>
            <a:prstDash val="solid"/>
            <a:round/>
            <a:headEnd type="none" w="med" len="med"/>
            <a:tailEnd type="none" w="med" len="med"/>
          </a:ln>
          <a:effectLst>
            <a:outerShdw blurRad="107950" dist="12700" dir="5400000" algn="ctr">
              <a:srgbClr val="000000"/>
            </a:outerShdw>
          </a:effectLst>
          <a:scene3d>
            <a:camera prst="orthographicFront">
              <a:rot lat="0" lon="0" rev="0"/>
            </a:camera>
            <a:lightRig rig="soft" dir="t">
              <a:rot lat="0" lon="0" rev="0"/>
            </a:lightRig>
          </a:scene3d>
          <a:sp3d contourW="44450" prstMaterial="matte">
            <a:bevelT w="63500" h="63500" prst="artDeco"/>
            <a:contourClr>
              <a:srgbClr val="FFFFFF"/>
            </a:contourClr>
          </a:sp3d>
        </xdr:spPr>
        <xdr:txBody>
          <a:bodyPr vert="horz" wrap="square" lIns="0" tIns="0" rIns="0" bIns="0" numCol="1" rtlCol="0" anchor="t" anchorCtr="0" compatLnSpc="1">
            <a:prstTxWarp prst="textNoShape">
              <a:avLst/>
            </a:prstTxWarp>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231775" indent="-231775" algn="ctr"/>
            <a:endParaRPr lang="en-US" sz="1800" b="1">
              <a:solidFill>
                <a:srgbClr val="FFFFFF"/>
              </a:solidFill>
              <a:latin typeface="Univers 57 Condensed" pitchFamily="2" charset="0"/>
              <a:cs typeface="Arial"/>
            </a:endParaRPr>
          </a:p>
        </xdr:txBody>
      </xdr:sp>
      <xdr:sp macro="" textlink="">
        <xdr:nvSpPr>
          <xdr:cNvPr id="38" name="TextBox 37">
            <a:extLst>
              <a:ext uri="{FF2B5EF4-FFF2-40B4-BE49-F238E27FC236}">
                <a16:creationId xmlns:a16="http://schemas.microsoft.com/office/drawing/2014/main" id="{08C3B091-F4CD-3963-ECDE-A5BD72BE6D53}"/>
              </a:ext>
            </a:extLst>
          </xdr:cNvPr>
          <xdr:cNvSpPr txBox="1"/>
        </xdr:nvSpPr>
        <xdr:spPr>
          <a:xfrm>
            <a:off x="1016275" y="673323"/>
            <a:ext cx="1472650" cy="1828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800" b="1">
                <a:solidFill>
                  <a:schemeClr val="bg1"/>
                </a:solidFill>
                <a:latin typeface="Calibri" panose="020F0502020204030204" pitchFamily="34" charset="0"/>
                <a:ea typeface="Calibri" panose="020F0502020204030204" pitchFamily="34" charset="0"/>
                <a:cs typeface="Calibri" panose="020F0502020204030204" pitchFamily="34" charset="0"/>
              </a:rPr>
              <a:t>TTC PD</a:t>
            </a:r>
          </a:p>
        </xdr:txBody>
      </xdr:sp>
    </xdr:grpSp>
    <xdr:clientData/>
  </xdr:twoCellAnchor>
  <xdr:twoCellAnchor editAs="oneCell">
    <xdr:from>
      <xdr:col>6</xdr:col>
      <xdr:colOff>144868</xdr:colOff>
      <xdr:row>0</xdr:row>
      <xdr:rowOff>182166</xdr:rowOff>
    </xdr:from>
    <xdr:to>
      <xdr:col>6</xdr:col>
      <xdr:colOff>459193</xdr:colOff>
      <xdr:row>2</xdr:row>
      <xdr:rowOff>119460</xdr:rowOff>
    </xdr:to>
    <xdr:pic>
      <xdr:nvPicPr>
        <xdr:cNvPr id="39" name="Graphic 12" descr="Bar graph with downward trend with solid fill">
          <a:extLst>
            <a:ext uri="{FF2B5EF4-FFF2-40B4-BE49-F238E27FC236}">
              <a16:creationId xmlns:a16="http://schemas.microsoft.com/office/drawing/2014/main" id="{40C34EAD-CCE5-463B-8A10-34A88CC629B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4728774" y="182166"/>
          <a:ext cx="314325" cy="314325"/>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3</xdr:col>
      <xdr:colOff>187117</xdr:colOff>
      <xdr:row>2</xdr:row>
      <xdr:rowOff>26171</xdr:rowOff>
    </xdr:from>
    <xdr:to>
      <xdr:col>3</xdr:col>
      <xdr:colOff>472867</xdr:colOff>
      <xdr:row>3</xdr:row>
      <xdr:rowOff>124982</xdr:rowOff>
    </xdr:to>
    <xdr:pic>
      <xdr:nvPicPr>
        <xdr:cNvPr id="2" name="Graphic 4" descr="Blockchain with solid fill">
          <a:extLst>
            <a:ext uri="{FF2B5EF4-FFF2-40B4-BE49-F238E27FC236}">
              <a16:creationId xmlns:a16="http://schemas.microsoft.com/office/drawing/2014/main" id="{A1E6477A-D1ED-4B16-A087-0466208F6148}"/>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730292" y="407171"/>
          <a:ext cx="285750" cy="289311"/>
        </a:xfrm>
        <a:prstGeom prst="rect">
          <a:avLst/>
        </a:prstGeom>
      </xdr:spPr>
    </xdr:pic>
    <xdr:clientData/>
  </xdr:twoCellAnchor>
  <xdr:twoCellAnchor editAs="oneCell">
    <xdr:from>
      <xdr:col>7</xdr:col>
      <xdr:colOff>223259</xdr:colOff>
      <xdr:row>1</xdr:row>
      <xdr:rowOff>136911</xdr:rowOff>
    </xdr:from>
    <xdr:to>
      <xdr:col>7</xdr:col>
      <xdr:colOff>594734</xdr:colOff>
      <xdr:row>3</xdr:row>
      <xdr:rowOff>134507</xdr:rowOff>
    </xdr:to>
    <xdr:pic>
      <xdr:nvPicPr>
        <xdr:cNvPr id="3" name="Graphic 8" descr="Calculator with solid fill">
          <a:extLst>
            <a:ext uri="{FF2B5EF4-FFF2-40B4-BE49-F238E27FC236}">
              <a16:creationId xmlns:a16="http://schemas.microsoft.com/office/drawing/2014/main" id="{F05EE451-9C0F-410B-B378-9730307FF4D8}"/>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5547734" y="327411"/>
          <a:ext cx="371475" cy="378596"/>
        </a:xfrm>
        <a:prstGeom prst="rect">
          <a:avLst/>
        </a:prstGeom>
      </xdr:spPr>
    </xdr:pic>
    <xdr:clientData/>
  </xdr:twoCellAnchor>
  <xdr:twoCellAnchor editAs="oneCell">
    <xdr:from>
      <xdr:col>5</xdr:col>
      <xdr:colOff>507407</xdr:colOff>
      <xdr:row>1</xdr:row>
      <xdr:rowOff>178038</xdr:rowOff>
    </xdr:from>
    <xdr:to>
      <xdr:col>6</xdr:col>
      <xdr:colOff>118485</xdr:colOff>
      <xdr:row>3</xdr:row>
      <xdr:rowOff>118484</xdr:rowOff>
    </xdr:to>
    <xdr:pic>
      <xdr:nvPicPr>
        <xdr:cNvPr id="4" name="Graphic 12" descr="Bar graph with downward trend with solid fill">
          <a:extLst>
            <a:ext uri="{FF2B5EF4-FFF2-40B4-BE49-F238E27FC236}">
              <a16:creationId xmlns:a16="http://schemas.microsoft.com/office/drawing/2014/main" id="{999A049A-D2EB-434C-B7F2-FC2E8EDB675E}"/>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4422182" y="368538"/>
          <a:ext cx="315928" cy="321446"/>
        </a:xfrm>
        <a:prstGeom prst="rect">
          <a:avLst/>
        </a:prstGeom>
      </xdr:spPr>
    </xdr:pic>
    <xdr:clientData/>
  </xdr:twoCellAnchor>
  <xdr:twoCellAnchor editAs="absolute">
    <xdr:from>
      <xdr:col>0</xdr:col>
      <xdr:colOff>0</xdr:colOff>
      <xdr:row>0</xdr:row>
      <xdr:rowOff>0</xdr:rowOff>
    </xdr:from>
    <xdr:to>
      <xdr:col>30</xdr:col>
      <xdr:colOff>569719</xdr:colOff>
      <xdr:row>4</xdr:row>
      <xdr:rowOff>16227</xdr:rowOff>
    </xdr:to>
    <xdr:sp macro="" textlink="">
      <xdr:nvSpPr>
        <xdr:cNvPr id="5" name="Rectangle 4">
          <a:extLst>
            <a:ext uri="{FF2B5EF4-FFF2-40B4-BE49-F238E27FC236}">
              <a16:creationId xmlns:a16="http://schemas.microsoft.com/office/drawing/2014/main" id="{730CAC97-DDDD-4512-B816-52085F67F99F}"/>
            </a:ext>
          </a:extLst>
        </xdr:cNvPr>
        <xdr:cNvSpPr>
          <a:spLocks/>
        </xdr:cNvSpPr>
      </xdr:nvSpPr>
      <xdr:spPr>
        <a:xfrm>
          <a:off x="0" y="0"/>
          <a:ext cx="21528903" cy="778227"/>
        </a:xfrm>
        <a:prstGeom prst="rect">
          <a:avLst/>
        </a:prstGeom>
        <a:solidFill>
          <a:srgbClr val="0C769E"/>
        </a:solidFill>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algn="l"/>
          <a:endParaRPr lang="en-US" sz="1100"/>
        </a:p>
      </xdr:txBody>
    </xdr:sp>
    <xdr:clientData/>
  </xdr:twoCellAnchor>
  <xdr:twoCellAnchor>
    <xdr:from>
      <xdr:col>2</xdr:col>
      <xdr:colOff>244363</xdr:colOff>
      <xdr:row>0</xdr:row>
      <xdr:rowOff>87185</xdr:rowOff>
    </xdr:from>
    <xdr:to>
      <xdr:col>4</xdr:col>
      <xdr:colOff>225985</xdr:colOff>
      <xdr:row>3</xdr:row>
      <xdr:rowOff>127846</xdr:rowOff>
    </xdr:to>
    <xdr:grpSp>
      <xdr:nvGrpSpPr>
        <xdr:cNvPr id="6" name="Group 5">
          <a:extLst>
            <a:ext uri="{FF2B5EF4-FFF2-40B4-BE49-F238E27FC236}">
              <a16:creationId xmlns:a16="http://schemas.microsoft.com/office/drawing/2014/main" id="{175FF031-7E83-4C53-A1ED-688B62FD9498}"/>
            </a:ext>
          </a:extLst>
        </xdr:cNvPr>
        <xdr:cNvGrpSpPr/>
      </xdr:nvGrpSpPr>
      <xdr:grpSpPr>
        <a:xfrm>
          <a:off x="2176069" y="87185"/>
          <a:ext cx="1254589" cy="601479"/>
          <a:chOff x="4772025" y="314325"/>
          <a:chExt cx="1192276" cy="601479"/>
        </a:xfrm>
      </xdr:grpSpPr>
      <xdr:grpSp>
        <xdr:nvGrpSpPr>
          <xdr:cNvPr id="7" name="Group 6">
            <a:hlinkClick xmlns:r="http://schemas.openxmlformats.org/officeDocument/2006/relationships" r:id="rId7"/>
            <a:extLst>
              <a:ext uri="{FF2B5EF4-FFF2-40B4-BE49-F238E27FC236}">
                <a16:creationId xmlns:a16="http://schemas.microsoft.com/office/drawing/2014/main" id="{F2742927-A71A-7F49-E194-F424B35E2DA2}"/>
              </a:ext>
            </a:extLst>
          </xdr:cNvPr>
          <xdr:cNvGrpSpPr>
            <a:grpSpLocks/>
          </xdr:cNvGrpSpPr>
        </xdr:nvGrpSpPr>
        <xdr:grpSpPr>
          <a:xfrm>
            <a:off x="4772025" y="314325"/>
            <a:ext cx="1192276" cy="601479"/>
            <a:chOff x="1016275" y="85726"/>
            <a:chExt cx="1472650" cy="770477"/>
          </a:xfrm>
        </xdr:grpSpPr>
        <xdr:sp macro="" textlink="">
          <xdr:nvSpPr>
            <xdr:cNvPr id="9" name="Rounded Rectangle 27">
              <a:extLst>
                <a:ext uri="{FF2B5EF4-FFF2-40B4-BE49-F238E27FC236}">
                  <a16:creationId xmlns:a16="http://schemas.microsoft.com/office/drawing/2014/main" id="{398D8468-41B6-2C33-2C25-10E9E6C61037}"/>
                </a:ext>
              </a:extLst>
            </xdr:cNvPr>
            <xdr:cNvSpPr/>
          </xdr:nvSpPr>
          <xdr:spPr bwMode="auto">
            <a:xfrm>
              <a:off x="1478280" y="85726"/>
              <a:ext cx="548640" cy="548638"/>
            </a:xfrm>
            <a:prstGeom prst="roundRect">
              <a:avLst/>
            </a:prstGeom>
            <a:solidFill>
              <a:schemeClr val="accent2"/>
            </a:solidFill>
            <a:ln w="9525" cap="flat" cmpd="sng" algn="ctr">
              <a:noFill/>
              <a:prstDash val="solid"/>
              <a:round/>
              <a:headEnd type="none" w="med" len="med"/>
              <a:tailEnd type="none" w="med" len="med"/>
            </a:ln>
            <a:effectLst>
              <a:outerShdw blurRad="107950" dist="12700" dir="5400000" algn="ctr">
                <a:srgbClr val="000000"/>
              </a:outerShdw>
            </a:effectLst>
            <a:scene3d>
              <a:camera prst="orthographicFront">
                <a:rot lat="0" lon="0" rev="0"/>
              </a:camera>
              <a:lightRig rig="soft" dir="t">
                <a:rot lat="0" lon="0" rev="0"/>
              </a:lightRig>
            </a:scene3d>
            <a:sp3d contourW="44450" prstMaterial="matte">
              <a:bevelT w="63500" h="63500" prst="artDeco"/>
              <a:contourClr>
                <a:srgbClr val="FFFFFF"/>
              </a:contourClr>
            </a:sp3d>
          </xdr:spPr>
          <xdr:txBody>
            <a:bodyPr vert="horz" wrap="square" lIns="0" tIns="0" rIns="0" bIns="0" numCol="1" rtlCol="0" anchor="t" anchorCtr="0" compatLnSpc="1">
              <a:prstTxWarp prst="textNoShape">
                <a:avLst/>
              </a:prstTxWarp>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231775" indent="-231775" algn="ctr"/>
              <a:endParaRPr lang="en-US" sz="1800" b="1">
                <a:solidFill>
                  <a:srgbClr val="FFFFFF"/>
                </a:solidFill>
                <a:latin typeface="Univers 57 Condensed" pitchFamily="2" charset="0"/>
                <a:cs typeface="Arial"/>
              </a:endParaRPr>
            </a:p>
          </xdr:txBody>
        </xdr:sp>
        <xdr:sp macro="" textlink="">
          <xdr:nvSpPr>
            <xdr:cNvPr id="10" name="TextBox 9">
              <a:extLst>
                <a:ext uri="{FF2B5EF4-FFF2-40B4-BE49-F238E27FC236}">
                  <a16:creationId xmlns:a16="http://schemas.microsoft.com/office/drawing/2014/main" id="{D9B4CCF5-D315-F150-0CFC-132F973B9F20}"/>
                </a:ext>
              </a:extLst>
            </xdr:cNvPr>
            <xdr:cNvSpPr txBox="1"/>
          </xdr:nvSpPr>
          <xdr:spPr>
            <a:xfrm>
              <a:off x="1016275" y="673323"/>
              <a:ext cx="1472650" cy="1828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800" b="1">
                  <a:solidFill>
                    <a:schemeClr val="bg1"/>
                  </a:solidFill>
                  <a:latin typeface="Calibri" panose="020F0502020204030204" pitchFamily="34" charset="0"/>
                  <a:ea typeface="Calibri" panose="020F0502020204030204" pitchFamily="34" charset="0"/>
                  <a:cs typeface="Calibri" panose="020F0502020204030204" pitchFamily="34" charset="0"/>
                </a:rPr>
                <a:t>TTC PD</a:t>
              </a:r>
            </a:p>
          </xdr:txBody>
        </xdr:sp>
      </xdr:grpSp>
      <xdr:pic>
        <xdr:nvPicPr>
          <xdr:cNvPr id="8" name="Graphic 8" descr="Calculator with solid fill">
            <a:extLst>
              <a:ext uri="{FF2B5EF4-FFF2-40B4-BE49-F238E27FC236}">
                <a16:creationId xmlns:a16="http://schemas.microsoft.com/office/drawing/2014/main" id="{29E09C3A-ECA7-EADA-BA02-1133BCDA9467}"/>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5181600" y="323850"/>
            <a:ext cx="371475" cy="371475"/>
          </a:xfrm>
          <a:prstGeom prst="rect">
            <a:avLst/>
          </a:prstGeom>
        </xdr:spPr>
      </xdr:pic>
    </xdr:grpSp>
    <xdr:clientData/>
  </xdr:twoCellAnchor>
  <xdr:twoCellAnchor>
    <xdr:from>
      <xdr:col>10</xdr:col>
      <xdr:colOff>717885</xdr:colOff>
      <xdr:row>0</xdr:row>
      <xdr:rowOff>82307</xdr:rowOff>
    </xdr:from>
    <xdr:to>
      <xdr:col>11</xdr:col>
      <xdr:colOff>583106</xdr:colOff>
      <xdr:row>3</xdr:row>
      <xdr:rowOff>122689</xdr:rowOff>
    </xdr:to>
    <xdr:grpSp>
      <xdr:nvGrpSpPr>
        <xdr:cNvPr id="11" name="Group 10">
          <a:hlinkClick xmlns:r="http://schemas.openxmlformats.org/officeDocument/2006/relationships" r:id="rId8"/>
          <a:extLst>
            <a:ext uri="{FF2B5EF4-FFF2-40B4-BE49-F238E27FC236}">
              <a16:creationId xmlns:a16="http://schemas.microsoft.com/office/drawing/2014/main" id="{231AF189-599C-43DF-8E16-74D463774C25}"/>
            </a:ext>
          </a:extLst>
        </xdr:cNvPr>
        <xdr:cNvGrpSpPr/>
      </xdr:nvGrpSpPr>
      <xdr:grpSpPr>
        <a:xfrm>
          <a:off x="8044123" y="82307"/>
          <a:ext cx="1191600" cy="601200"/>
          <a:chOff x="3748088" y="68260"/>
          <a:chExt cx="1316981" cy="607288"/>
        </a:xfrm>
      </xdr:grpSpPr>
      <xdr:grpSp>
        <xdr:nvGrpSpPr>
          <xdr:cNvPr id="12" name="Group 11">
            <a:hlinkClick xmlns:r="http://schemas.openxmlformats.org/officeDocument/2006/relationships" r:id="rId9"/>
            <a:extLst>
              <a:ext uri="{FF2B5EF4-FFF2-40B4-BE49-F238E27FC236}">
                <a16:creationId xmlns:a16="http://schemas.microsoft.com/office/drawing/2014/main" id="{CBDF3C28-1D48-6ED3-B1A4-A7F6A9FC2E62}"/>
              </a:ext>
            </a:extLst>
          </xdr:cNvPr>
          <xdr:cNvGrpSpPr>
            <a:grpSpLocks/>
          </xdr:cNvGrpSpPr>
        </xdr:nvGrpSpPr>
        <xdr:grpSpPr>
          <a:xfrm>
            <a:off x="3748088" y="68260"/>
            <a:ext cx="1316981" cy="607288"/>
            <a:chOff x="5655609" y="107836"/>
            <a:chExt cx="1316981" cy="607288"/>
          </a:xfrm>
        </xdr:grpSpPr>
        <xdr:sp macro="" textlink="">
          <xdr:nvSpPr>
            <xdr:cNvPr id="14" name="TextBox 13">
              <a:extLst>
                <a:ext uri="{FF2B5EF4-FFF2-40B4-BE49-F238E27FC236}">
                  <a16:creationId xmlns:a16="http://schemas.microsoft.com/office/drawing/2014/main" id="{FA56C75D-445A-A62C-ED59-170D43211CFC}"/>
                </a:ext>
              </a:extLst>
            </xdr:cNvPr>
            <xdr:cNvSpPr txBox="1"/>
          </xdr:nvSpPr>
          <xdr:spPr>
            <a:xfrm>
              <a:off x="5655609" y="574456"/>
              <a:ext cx="1316981" cy="14066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800" b="1">
                  <a:solidFill>
                    <a:schemeClr val="bg1"/>
                  </a:solidFill>
                  <a:latin typeface="Calibri" panose="020F0502020204030204" pitchFamily="34" charset="0"/>
                  <a:ea typeface="Calibri" panose="020F0502020204030204" pitchFamily="34" charset="0"/>
                  <a:cs typeface="Calibri" panose="020F0502020204030204" pitchFamily="34" charset="0"/>
                </a:rPr>
                <a:t>PIT PD</a:t>
              </a:r>
            </a:p>
          </xdr:txBody>
        </xdr:sp>
        <xdr:sp macro="" textlink="">
          <xdr:nvSpPr>
            <xdr:cNvPr id="15" name="Rounded Rectangle 32">
              <a:extLst>
                <a:ext uri="{FF2B5EF4-FFF2-40B4-BE49-F238E27FC236}">
                  <a16:creationId xmlns:a16="http://schemas.microsoft.com/office/drawing/2014/main" id="{AEEF3C09-3B84-332A-E310-1E61C7112926}"/>
                </a:ext>
              </a:extLst>
            </xdr:cNvPr>
            <xdr:cNvSpPr/>
          </xdr:nvSpPr>
          <xdr:spPr bwMode="auto">
            <a:xfrm>
              <a:off x="6097274" y="107836"/>
              <a:ext cx="446041" cy="422003"/>
            </a:xfrm>
            <a:prstGeom prst="roundRect">
              <a:avLst/>
            </a:prstGeom>
            <a:solidFill>
              <a:schemeClr val="accent2"/>
            </a:solidFill>
            <a:ln w="9525" cap="flat" cmpd="sng" algn="ctr">
              <a:noFill/>
              <a:prstDash val="solid"/>
              <a:round/>
              <a:headEnd type="none" w="med" len="med"/>
              <a:tailEnd type="none" w="med" len="med"/>
            </a:ln>
            <a:effectLst>
              <a:outerShdw blurRad="107950" dist="12700" dir="5400000" algn="ctr">
                <a:srgbClr val="000000"/>
              </a:outerShdw>
            </a:effectLst>
            <a:scene3d>
              <a:camera prst="orthographicFront">
                <a:rot lat="0" lon="0" rev="0"/>
              </a:camera>
              <a:lightRig rig="soft" dir="t">
                <a:rot lat="0" lon="0" rev="0"/>
              </a:lightRig>
            </a:scene3d>
            <a:sp3d contourW="44450" prstMaterial="matte">
              <a:bevelT w="63500" h="63500" prst="artDeco"/>
              <a:contourClr>
                <a:srgbClr val="FFFFFF"/>
              </a:contourClr>
            </a:sp3d>
          </xdr:spPr>
          <xdr:txBody>
            <a:bodyPr vert="horz" wrap="square" lIns="0" tIns="0" rIns="0" bIns="0" numCol="1" rtlCol="0" anchor="t" anchorCtr="0" compatLnSpc="1">
              <a:prstTxWarp prst="textNoShape">
                <a:avLst/>
              </a:prstTxWarp>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231775" indent="-231775" algn="ctr"/>
              <a:endParaRPr lang="en-US" sz="1800" b="1">
                <a:solidFill>
                  <a:srgbClr val="FFFFFF"/>
                </a:solidFill>
                <a:latin typeface="Univers 57 Condensed" pitchFamily="2" charset="0"/>
                <a:cs typeface="Arial"/>
              </a:endParaRPr>
            </a:p>
          </xdr:txBody>
        </xdr:sp>
      </xdr:grpSp>
      <xdr:pic>
        <xdr:nvPicPr>
          <xdr:cNvPr id="13" name="Graphic 12" descr="Bar graph with downward trend with solid fill">
            <a:extLst>
              <a:ext uri="{FF2B5EF4-FFF2-40B4-BE49-F238E27FC236}">
                <a16:creationId xmlns:a16="http://schemas.microsoft.com/office/drawing/2014/main" id="{68B4C3C4-8744-6939-EA72-4ED32FAC499F}"/>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4242198" y="126207"/>
            <a:ext cx="314325" cy="314325"/>
          </a:xfrm>
          <a:prstGeom prst="rect">
            <a:avLst/>
          </a:prstGeom>
        </xdr:spPr>
      </xdr:pic>
    </xdr:grpSp>
    <xdr:clientData/>
  </xdr:twoCellAnchor>
  <xdr:twoCellAnchor>
    <xdr:from>
      <xdr:col>4</xdr:col>
      <xdr:colOff>68008</xdr:colOff>
      <xdr:row>0</xdr:row>
      <xdr:rowOff>89339</xdr:rowOff>
    </xdr:from>
    <xdr:to>
      <xdr:col>6</xdr:col>
      <xdr:colOff>48954</xdr:colOff>
      <xdr:row>3</xdr:row>
      <xdr:rowOff>129721</xdr:rowOff>
    </xdr:to>
    <xdr:grpSp>
      <xdr:nvGrpSpPr>
        <xdr:cNvPr id="16" name="Group 15">
          <a:extLst>
            <a:ext uri="{FF2B5EF4-FFF2-40B4-BE49-F238E27FC236}">
              <a16:creationId xmlns:a16="http://schemas.microsoft.com/office/drawing/2014/main" id="{ED64E422-35D8-4A3A-91C3-75FFEF186BA6}"/>
            </a:ext>
          </a:extLst>
        </xdr:cNvPr>
        <xdr:cNvGrpSpPr/>
      </xdr:nvGrpSpPr>
      <xdr:grpSpPr>
        <a:xfrm>
          <a:off x="3272681" y="89339"/>
          <a:ext cx="1387441" cy="601200"/>
          <a:chOff x="5934075" y="276225"/>
          <a:chExt cx="1316981" cy="607289"/>
        </a:xfrm>
      </xdr:grpSpPr>
      <xdr:grpSp>
        <xdr:nvGrpSpPr>
          <xdr:cNvPr id="17" name="Group 16">
            <a:extLst>
              <a:ext uri="{FF2B5EF4-FFF2-40B4-BE49-F238E27FC236}">
                <a16:creationId xmlns:a16="http://schemas.microsoft.com/office/drawing/2014/main" id="{57A7CCF2-B288-D12D-5C07-CF3D24D8B631}"/>
              </a:ext>
            </a:extLst>
          </xdr:cNvPr>
          <xdr:cNvGrpSpPr>
            <a:grpSpLocks/>
          </xdr:cNvGrpSpPr>
        </xdr:nvGrpSpPr>
        <xdr:grpSpPr>
          <a:xfrm>
            <a:off x="5934075" y="276225"/>
            <a:ext cx="1316981" cy="607289"/>
            <a:chOff x="647368" y="981075"/>
            <a:chExt cx="1619915" cy="789528"/>
          </a:xfrm>
        </xdr:grpSpPr>
        <xdr:sp macro="" textlink="">
          <xdr:nvSpPr>
            <xdr:cNvPr id="19" name="TextBox 18">
              <a:extLst>
                <a:ext uri="{FF2B5EF4-FFF2-40B4-BE49-F238E27FC236}">
                  <a16:creationId xmlns:a16="http://schemas.microsoft.com/office/drawing/2014/main" id="{8E3B308B-9CEF-C0CD-32EA-05518E2097C7}"/>
                </a:ext>
              </a:extLst>
            </xdr:cNvPr>
            <xdr:cNvSpPr txBox="1"/>
          </xdr:nvSpPr>
          <xdr:spPr>
            <a:xfrm>
              <a:off x="647368" y="1587723"/>
              <a:ext cx="1619915" cy="1828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800" b="1">
                  <a:solidFill>
                    <a:schemeClr val="bg1"/>
                  </a:solidFill>
                  <a:latin typeface="Calibri" panose="020F0502020204030204" pitchFamily="34" charset="0"/>
                  <a:ea typeface="Calibri" panose="020F0502020204030204" pitchFamily="34" charset="0"/>
                  <a:cs typeface="Calibri" panose="020F0502020204030204" pitchFamily="34" charset="0"/>
                </a:rPr>
                <a:t>MEV</a:t>
              </a:r>
            </a:p>
          </xdr:txBody>
        </xdr:sp>
        <xdr:sp macro="" textlink="">
          <xdr:nvSpPr>
            <xdr:cNvPr id="20" name="Rounded Rectangle 32">
              <a:extLst>
                <a:ext uri="{FF2B5EF4-FFF2-40B4-BE49-F238E27FC236}">
                  <a16:creationId xmlns:a16="http://schemas.microsoft.com/office/drawing/2014/main" id="{66E90C00-8102-C171-B85A-84FF47DF02E9}"/>
                </a:ext>
              </a:extLst>
            </xdr:cNvPr>
            <xdr:cNvSpPr/>
          </xdr:nvSpPr>
          <xdr:spPr bwMode="auto">
            <a:xfrm>
              <a:off x="1190625" y="981075"/>
              <a:ext cx="548640" cy="548640"/>
            </a:xfrm>
            <a:prstGeom prst="roundRect">
              <a:avLst/>
            </a:prstGeom>
            <a:solidFill>
              <a:schemeClr val="accent2"/>
            </a:solidFill>
            <a:ln w="9525" cap="flat" cmpd="sng" algn="ctr">
              <a:noFill/>
              <a:prstDash val="solid"/>
              <a:round/>
              <a:headEnd type="none" w="med" len="med"/>
              <a:tailEnd type="none" w="med" len="med"/>
            </a:ln>
            <a:effectLst>
              <a:outerShdw blurRad="107950" dist="12700" dir="5400000" algn="ctr">
                <a:srgbClr val="000000"/>
              </a:outerShdw>
            </a:effectLst>
            <a:scene3d>
              <a:camera prst="orthographicFront">
                <a:rot lat="0" lon="0" rev="0"/>
              </a:camera>
              <a:lightRig rig="soft" dir="t">
                <a:rot lat="0" lon="0" rev="0"/>
              </a:lightRig>
            </a:scene3d>
            <a:sp3d contourW="44450" prstMaterial="matte">
              <a:bevelT w="63500" h="63500" prst="artDeco"/>
              <a:contourClr>
                <a:srgbClr val="FFFFFF"/>
              </a:contourClr>
            </a:sp3d>
          </xdr:spPr>
          <xdr:txBody>
            <a:bodyPr vert="horz" wrap="square" lIns="0" tIns="0" rIns="0" bIns="0" numCol="1" rtlCol="0" anchor="t" anchorCtr="0" compatLnSpc="1">
              <a:prstTxWarp prst="textNoShape">
                <a:avLst/>
              </a:prstTxWarp>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231775" indent="-231775" algn="ctr"/>
              <a:endParaRPr lang="en-US" sz="1800" b="1">
                <a:solidFill>
                  <a:srgbClr val="FFFFFF"/>
                </a:solidFill>
                <a:latin typeface="Univers 57 Condensed" pitchFamily="2" charset="0"/>
                <a:cs typeface="Arial"/>
              </a:endParaRPr>
            </a:p>
          </xdr:txBody>
        </xdr:sp>
      </xdr:grpSp>
      <xdr:pic>
        <xdr:nvPicPr>
          <xdr:cNvPr id="18" name="Graphic 10" descr="Downward trend graph with solid fill">
            <a:hlinkClick xmlns:r="http://schemas.openxmlformats.org/officeDocument/2006/relationships" r:id="rId10"/>
            <a:extLst>
              <a:ext uri="{FF2B5EF4-FFF2-40B4-BE49-F238E27FC236}">
                <a16:creationId xmlns:a16="http://schemas.microsoft.com/office/drawing/2014/main" id="{54F2740F-FFDE-DBC4-7C9A-C1C4CF12BAED}"/>
              </a:ext>
            </a:extLst>
          </xdr:cNvPr>
          <xdr:cNvPicPr>
            <a:picLocks noChangeAspect="1"/>
          </xdr:cNvPicPr>
        </xdr:nvPicPr>
        <xdr:blipFill>
          <a:blip xmlns:r="http://schemas.openxmlformats.org/officeDocument/2006/relationships" r:embed="rId11">
            <a:extLst>
              <a:ext uri="{96DAC541-7B7A-43D3-8B79-37D633B846F1}">
                <asvg:svgBlip xmlns:asvg="http://schemas.microsoft.com/office/drawing/2016/SVG/main" r:embed="rId12"/>
              </a:ext>
            </a:extLst>
          </a:blip>
          <a:stretch>
            <a:fillRect/>
          </a:stretch>
        </xdr:blipFill>
        <xdr:spPr>
          <a:xfrm>
            <a:off x="6429375" y="304800"/>
            <a:ext cx="323850" cy="323850"/>
          </a:xfrm>
          <a:prstGeom prst="rect">
            <a:avLst/>
          </a:prstGeom>
        </xdr:spPr>
      </xdr:pic>
    </xdr:grpSp>
    <xdr:clientData/>
  </xdr:twoCellAnchor>
  <xdr:twoCellAnchor editAs="absolute">
    <xdr:from>
      <xdr:col>5</xdr:col>
      <xdr:colOff>517235</xdr:colOff>
      <xdr:row>0</xdr:row>
      <xdr:rowOff>148825</xdr:rowOff>
    </xdr:from>
    <xdr:to>
      <xdr:col>7</xdr:col>
      <xdr:colOff>390900</xdr:colOff>
      <xdr:row>2</xdr:row>
      <xdr:rowOff>170946</xdr:rowOff>
    </xdr:to>
    <xdr:sp macro="" textlink="">
      <xdr:nvSpPr>
        <xdr:cNvPr id="21" name="Arrow: Right 20">
          <a:hlinkClick xmlns:r="http://schemas.openxmlformats.org/officeDocument/2006/relationships" r:id="rId13"/>
          <a:extLst>
            <a:ext uri="{FF2B5EF4-FFF2-40B4-BE49-F238E27FC236}">
              <a16:creationId xmlns:a16="http://schemas.microsoft.com/office/drawing/2014/main" id="{51F5AAFA-F119-452D-90AA-C9907C6964E0}"/>
            </a:ext>
          </a:extLst>
        </xdr:cNvPr>
        <xdr:cNvSpPr/>
      </xdr:nvSpPr>
      <xdr:spPr>
        <a:xfrm>
          <a:off x="4432010" y="148825"/>
          <a:ext cx="1283365" cy="403121"/>
        </a:xfrm>
        <a:prstGeom prst="rightArrow">
          <a:avLst/>
        </a:prstGeom>
        <a:solidFill>
          <a:schemeClr val="accent6"/>
        </a:solidFill>
        <a:ln>
          <a:noFill/>
        </a:ln>
        <a:effectLst>
          <a:outerShdw blurRad="107950" dist="12700" dir="5400000" algn="ctr">
            <a:srgbClr val="000000"/>
          </a:outerShdw>
        </a:effectLst>
        <a:scene3d>
          <a:camera prst="orthographicFront">
            <a:rot lat="0" lon="0" rev="0"/>
          </a:camera>
          <a:lightRig rig="soft" dir="t">
            <a:rot lat="0" lon="0" rev="0"/>
          </a:lightRig>
        </a:scene3d>
        <a:sp3d contourW="44450" prstMaterial="matte">
          <a:bevelT w="63500" h="63500" prst="artDeco"/>
          <a:contourClr>
            <a:srgbClr val="FFFFFF"/>
          </a:contourClr>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800" b="1">
              <a:latin typeface="Calibri" panose="020F0502020204030204" pitchFamily="34" charset="0"/>
              <a:ea typeface="Calibri" panose="020F0502020204030204" pitchFamily="34" charset="0"/>
              <a:cs typeface="Calibri" panose="020F0502020204030204" pitchFamily="34" charset="0"/>
            </a:rPr>
            <a:t>VASICEK</a:t>
          </a:r>
          <a:endParaRPr lang="en-US" sz="800" b="1" baseline="0">
            <a:latin typeface="Calibri" panose="020F0502020204030204" pitchFamily="34" charset="0"/>
            <a:ea typeface="Calibri" panose="020F0502020204030204" pitchFamily="34" charset="0"/>
            <a:cs typeface="Calibri" panose="020F0502020204030204" pitchFamily="34" charset="0"/>
          </a:endParaRPr>
        </a:p>
      </xdr:txBody>
    </xdr:sp>
    <xdr:clientData/>
  </xdr:twoCellAnchor>
  <xdr:twoCellAnchor editAs="absolute">
    <xdr:from>
      <xdr:col>7</xdr:col>
      <xdr:colOff>563302</xdr:colOff>
      <xdr:row>0</xdr:row>
      <xdr:rowOff>148825</xdr:rowOff>
    </xdr:from>
    <xdr:to>
      <xdr:col>9</xdr:col>
      <xdr:colOff>436967</xdr:colOff>
      <xdr:row>2</xdr:row>
      <xdr:rowOff>170946</xdr:rowOff>
    </xdr:to>
    <xdr:sp macro="" textlink="">
      <xdr:nvSpPr>
        <xdr:cNvPr id="22" name="Arrow: Right 21">
          <a:hlinkClick xmlns:r="http://schemas.openxmlformats.org/officeDocument/2006/relationships" r:id="rId14"/>
          <a:extLst>
            <a:ext uri="{FF2B5EF4-FFF2-40B4-BE49-F238E27FC236}">
              <a16:creationId xmlns:a16="http://schemas.microsoft.com/office/drawing/2014/main" id="{4B5C5CB3-87E7-4754-920F-E7771B0C06D4}"/>
            </a:ext>
          </a:extLst>
        </xdr:cNvPr>
        <xdr:cNvSpPr/>
      </xdr:nvSpPr>
      <xdr:spPr>
        <a:xfrm>
          <a:off x="5887777" y="148825"/>
          <a:ext cx="1283365" cy="403121"/>
        </a:xfrm>
        <a:prstGeom prst="rightArrow">
          <a:avLst/>
        </a:prstGeom>
        <a:solidFill>
          <a:schemeClr val="accent1"/>
        </a:solidFill>
        <a:ln>
          <a:noFill/>
        </a:ln>
        <a:effectLst>
          <a:outerShdw blurRad="107950" dist="12700" dir="5400000" algn="ctr">
            <a:srgbClr val="000000"/>
          </a:outerShdw>
        </a:effectLst>
        <a:scene3d>
          <a:camera prst="orthographicFront">
            <a:rot lat="0" lon="0" rev="0"/>
          </a:camera>
          <a:lightRig rig="soft" dir="t">
            <a:rot lat="0" lon="0" rev="0"/>
          </a:lightRig>
        </a:scene3d>
        <a:sp3d contourW="44450" prstMaterial="matte">
          <a:bevelT w="63500" h="63500" prst="artDeco"/>
          <a:contourClr>
            <a:srgbClr val="FFFFFF"/>
          </a:contourClr>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800" b="1">
              <a:latin typeface="Calibri" panose="020F0502020204030204" pitchFamily="34" charset="0"/>
              <a:ea typeface="Calibri" panose="020F0502020204030204" pitchFamily="34" charset="0"/>
              <a:cs typeface="Calibri" panose="020F0502020204030204" pitchFamily="34" charset="0"/>
            </a:rPr>
            <a:t>SURVIVAL ANALYSIS</a:t>
          </a:r>
          <a:endParaRPr lang="en-US" sz="800" b="1" baseline="0">
            <a:latin typeface="Calibri" panose="020F0502020204030204" pitchFamily="34" charset="0"/>
            <a:ea typeface="Calibri" panose="020F0502020204030204" pitchFamily="34" charset="0"/>
            <a:cs typeface="Calibri" panose="020F0502020204030204" pitchFamily="34" charset="0"/>
          </a:endParaRPr>
        </a:p>
      </xdr:txBody>
    </xdr:sp>
    <xdr:clientData/>
  </xdr:twoCellAnchor>
  <xdr:twoCellAnchor>
    <xdr:from>
      <xdr:col>1</xdr:col>
      <xdr:colOff>99129</xdr:colOff>
      <xdr:row>0</xdr:row>
      <xdr:rowOff>81414</xdr:rowOff>
    </xdr:from>
    <xdr:to>
      <xdr:col>1</xdr:col>
      <xdr:colOff>1291405</xdr:colOff>
      <xdr:row>3</xdr:row>
      <xdr:rowOff>131600</xdr:rowOff>
    </xdr:to>
    <xdr:grpSp>
      <xdr:nvGrpSpPr>
        <xdr:cNvPr id="23" name="Group 22">
          <a:hlinkClick xmlns:r="http://schemas.openxmlformats.org/officeDocument/2006/relationships" r:id="rId15"/>
          <a:extLst>
            <a:ext uri="{FF2B5EF4-FFF2-40B4-BE49-F238E27FC236}">
              <a16:creationId xmlns:a16="http://schemas.microsoft.com/office/drawing/2014/main" id="{A5863918-84DA-4E83-AEA1-1FC564F1EBAF}"/>
            </a:ext>
          </a:extLst>
        </xdr:cNvPr>
        <xdr:cNvGrpSpPr/>
      </xdr:nvGrpSpPr>
      <xdr:grpSpPr>
        <a:xfrm>
          <a:off x="704456" y="81414"/>
          <a:ext cx="1192276" cy="611004"/>
          <a:chOff x="323851" y="104775"/>
          <a:chExt cx="1192276" cy="611004"/>
        </a:xfrm>
      </xdr:grpSpPr>
      <xdr:grpSp>
        <xdr:nvGrpSpPr>
          <xdr:cNvPr id="24" name="Group 23">
            <a:hlinkClick xmlns:r="http://schemas.openxmlformats.org/officeDocument/2006/relationships" r:id="rId16"/>
            <a:extLst>
              <a:ext uri="{FF2B5EF4-FFF2-40B4-BE49-F238E27FC236}">
                <a16:creationId xmlns:a16="http://schemas.microsoft.com/office/drawing/2014/main" id="{28BB1B35-3BE7-BB6C-E56D-7895F749DF8E}"/>
              </a:ext>
            </a:extLst>
          </xdr:cNvPr>
          <xdr:cNvGrpSpPr>
            <a:grpSpLocks/>
          </xdr:cNvGrpSpPr>
        </xdr:nvGrpSpPr>
        <xdr:grpSpPr>
          <a:xfrm>
            <a:off x="323851" y="114300"/>
            <a:ext cx="1192276" cy="601479"/>
            <a:chOff x="1016275" y="85726"/>
            <a:chExt cx="1472650" cy="770477"/>
          </a:xfrm>
        </xdr:grpSpPr>
        <xdr:sp macro="" textlink="">
          <xdr:nvSpPr>
            <xdr:cNvPr id="26" name="Rounded Rectangle 27">
              <a:extLst>
                <a:ext uri="{FF2B5EF4-FFF2-40B4-BE49-F238E27FC236}">
                  <a16:creationId xmlns:a16="http://schemas.microsoft.com/office/drawing/2014/main" id="{93E6628F-C207-8170-6B75-FEA100751C3E}"/>
                </a:ext>
              </a:extLst>
            </xdr:cNvPr>
            <xdr:cNvSpPr/>
          </xdr:nvSpPr>
          <xdr:spPr bwMode="auto">
            <a:xfrm>
              <a:off x="1478280" y="85726"/>
              <a:ext cx="548640" cy="548638"/>
            </a:xfrm>
            <a:prstGeom prst="roundRect">
              <a:avLst/>
            </a:prstGeom>
            <a:solidFill>
              <a:schemeClr val="accent2"/>
            </a:solidFill>
            <a:ln w="9525" cap="flat" cmpd="sng" algn="ctr">
              <a:noFill/>
              <a:prstDash val="solid"/>
              <a:round/>
              <a:headEnd type="none" w="med" len="med"/>
              <a:tailEnd type="none" w="med" len="med"/>
            </a:ln>
            <a:effectLst>
              <a:outerShdw blurRad="107950" dist="12700" dir="5400000" algn="ctr">
                <a:srgbClr val="000000"/>
              </a:outerShdw>
            </a:effectLst>
            <a:scene3d>
              <a:camera prst="orthographicFront">
                <a:rot lat="0" lon="0" rev="0"/>
              </a:camera>
              <a:lightRig rig="soft" dir="t">
                <a:rot lat="0" lon="0" rev="0"/>
              </a:lightRig>
            </a:scene3d>
            <a:sp3d contourW="44450" prstMaterial="matte">
              <a:bevelT w="63500" h="63500" prst="artDeco"/>
              <a:contourClr>
                <a:srgbClr val="FFFFFF"/>
              </a:contourClr>
            </a:sp3d>
          </xdr:spPr>
          <xdr:txBody>
            <a:bodyPr vert="horz" wrap="square" lIns="0" tIns="0" rIns="0" bIns="0" numCol="1" rtlCol="0" anchor="t" anchorCtr="0" compatLnSpc="1">
              <a:prstTxWarp prst="textNoShape">
                <a:avLst/>
              </a:prstTxWarp>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231775" indent="-231775" algn="ctr"/>
              <a:endParaRPr lang="en-US" sz="1800" b="1">
                <a:solidFill>
                  <a:srgbClr val="FFFFFF"/>
                </a:solidFill>
                <a:latin typeface="Univers 57 Condensed" pitchFamily="2" charset="0"/>
                <a:cs typeface="Arial"/>
              </a:endParaRPr>
            </a:p>
          </xdr:txBody>
        </xdr:sp>
        <xdr:sp macro="" textlink="">
          <xdr:nvSpPr>
            <xdr:cNvPr id="27" name="TextBox 26">
              <a:extLst>
                <a:ext uri="{FF2B5EF4-FFF2-40B4-BE49-F238E27FC236}">
                  <a16:creationId xmlns:a16="http://schemas.microsoft.com/office/drawing/2014/main" id="{18C5AADA-D2A6-3191-7127-4879CC41C978}"/>
                </a:ext>
              </a:extLst>
            </xdr:cNvPr>
            <xdr:cNvSpPr txBox="1"/>
          </xdr:nvSpPr>
          <xdr:spPr>
            <a:xfrm>
              <a:off x="1016275" y="673323"/>
              <a:ext cx="1472650" cy="1828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800" b="1">
                  <a:solidFill>
                    <a:schemeClr val="bg1"/>
                  </a:solidFill>
                  <a:latin typeface="Calibri" panose="020F0502020204030204" pitchFamily="34" charset="0"/>
                  <a:ea typeface="Calibri" panose="020F0502020204030204" pitchFamily="34" charset="0"/>
                  <a:cs typeface="Calibri" panose="020F0502020204030204" pitchFamily="34" charset="0"/>
                </a:rPr>
                <a:t>Home</a:t>
              </a:r>
            </a:p>
          </xdr:txBody>
        </xdr:sp>
      </xdr:grpSp>
      <xdr:pic>
        <xdr:nvPicPr>
          <xdr:cNvPr id="25" name="Graphic 24" descr="Home outline">
            <a:extLst>
              <a:ext uri="{FF2B5EF4-FFF2-40B4-BE49-F238E27FC236}">
                <a16:creationId xmlns:a16="http://schemas.microsoft.com/office/drawing/2014/main" id="{D3D6A5D2-EF3F-2D8C-A4F2-7F59FBBB98E9}"/>
              </a:ext>
            </a:extLst>
          </xdr:cNvPr>
          <xdr:cNvPicPr>
            <a:picLocks noChangeAspect="1"/>
          </xdr:cNvPicPr>
        </xdr:nvPicPr>
        <xdr:blipFill>
          <a:blip xmlns:r="http://schemas.openxmlformats.org/officeDocument/2006/relationships" r:embed="rId17">
            <a:extLst>
              <a:ext uri="{96DAC541-7B7A-43D3-8B79-37D633B846F1}">
                <asvg:svgBlip xmlns:asvg="http://schemas.microsoft.com/office/drawing/2016/SVG/main" r:embed="rId18"/>
              </a:ext>
            </a:extLst>
          </a:blip>
          <a:stretch>
            <a:fillRect/>
          </a:stretch>
        </xdr:blipFill>
        <xdr:spPr>
          <a:xfrm>
            <a:off x="723900" y="104775"/>
            <a:ext cx="390525" cy="390525"/>
          </a:xfrm>
          <a:prstGeom prst="rect">
            <a:avLst/>
          </a:prstGeom>
        </xdr:spPr>
      </xdr:pic>
    </xdr:grpSp>
    <xdr:clientData/>
  </xdr:twoCellAnchor>
</xdr:wsDr>
</file>

<file path=xl/drawings/drawing9.xml><?xml version="1.0" encoding="utf-8"?>
<xdr:wsDr xmlns:xdr="http://schemas.openxmlformats.org/drawingml/2006/spreadsheetDrawing" xmlns:a="http://schemas.openxmlformats.org/drawingml/2006/main">
  <xdr:twoCellAnchor editAs="oneCell">
    <xdr:from>
      <xdr:col>7</xdr:col>
      <xdr:colOff>228600</xdr:colOff>
      <xdr:row>1</xdr:row>
      <xdr:rowOff>133350</xdr:rowOff>
    </xdr:from>
    <xdr:to>
      <xdr:col>7</xdr:col>
      <xdr:colOff>600075</xdr:colOff>
      <xdr:row>3</xdr:row>
      <xdr:rowOff>123825</xdr:rowOff>
    </xdr:to>
    <xdr:pic>
      <xdr:nvPicPr>
        <xdr:cNvPr id="2" name="Graphic 8" descr="Calculator with solid fill">
          <a:extLst>
            <a:ext uri="{FF2B5EF4-FFF2-40B4-BE49-F238E27FC236}">
              <a16:creationId xmlns:a16="http://schemas.microsoft.com/office/drawing/2014/main" id="{6D19209B-A239-41F3-A0E5-08AA524C1888}"/>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5953125" y="323850"/>
          <a:ext cx="371475" cy="371475"/>
        </a:xfrm>
        <a:prstGeom prst="rect">
          <a:avLst/>
        </a:prstGeom>
      </xdr:spPr>
    </xdr:pic>
    <xdr:clientData/>
  </xdr:twoCellAnchor>
  <xdr:twoCellAnchor editAs="oneCell">
    <xdr:from>
      <xdr:col>5</xdr:col>
      <xdr:colOff>504264</xdr:colOff>
      <xdr:row>1</xdr:row>
      <xdr:rowOff>156882</xdr:rowOff>
    </xdr:from>
    <xdr:to>
      <xdr:col>6</xdr:col>
      <xdr:colOff>213473</xdr:colOff>
      <xdr:row>3</xdr:row>
      <xdr:rowOff>90207</xdr:rowOff>
    </xdr:to>
    <xdr:pic>
      <xdr:nvPicPr>
        <xdr:cNvPr id="3" name="Graphic 12" descr="Bar graph with downward trend with solid fill">
          <a:extLst>
            <a:ext uri="{FF2B5EF4-FFF2-40B4-BE49-F238E27FC236}">
              <a16:creationId xmlns:a16="http://schemas.microsoft.com/office/drawing/2014/main" id="{66D35E29-B10C-4363-B48B-3B92D98C57CF}"/>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5009589" y="347382"/>
          <a:ext cx="318809" cy="314325"/>
        </a:xfrm>
        <a:prstGeom prst="rect">
          <a:avLst/>
        </a:prstGeom>
      </xdr:spPr>
    </xdr:pic>
    <xdr:clientData/>
  </xdr:twoCellAnchor>
  <xdr:twoCellAnchor editAs="absolute">
    <xdr:from>
      <xdr:col>0</xdr:col>
      <xdr:colOff>0</xdr:colOff>
      <xdr:row>0</xdr:row>
      <xdr:rowOff>0</xdr:rowOff>
    </xdr:from>
    <xdr:to>
      <xdr:col>38</xdr:col>
      <xdr:colOff>215601</xdr:colOff>
      <xdr:row>4</xdr:row>
      <xdr:rowOff>32614</xdr:rowOff>
    </xdr:to>
    <xdr:sp macro="" textlink="">
      <xdr:nvSpPr>
        <xdr:cNvPr id="4" name="Rectangle 3">
          <a:extLst>
            <a:ext uri="{FF2B5EF4-FFF2-40B4-BE49-F238E27FC236}">
              <a16:creationId xmlns:a16="http://schemas.microsoft.com/office/drawing/2014/main" id="{FC3B1F8A-BEB2-44C2-9C85-A28ACD2D3DC4}"/>
            </a:ext>
          </a:extLst>
        </xdr:cNvPr>
        <xdr:cNvSpPr>
          <a:spLocks/>
        </xdr:cNvSpPr>
      </xdr:nvSpPr>
      <xdr:spPr>
        <a:xfrm>
          <a:off x="0" y="0"/>
          <a:ext cx="26266476" cy="794614"/>
        </a:xfrm>
        <a:prstGeom prst="rect">
          <a:avLst/>
        </a:prstGeom>
        <a:solidFill>
          <a:srgbClr val="0C769E"/>
        </a:solidFill>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algn="l"/>
          <a:endParaRPr lang="en-US" sz="1100"/>
        </a:p>
      </xdr:txBody>
    </xdr:sp>
    <xdr:clientData/>
  </xdr:twoCellAnchor>
  <xdr:twoCellAnchor>
    <xdr:from>
      <xdr:col>1</xdr:col>
      <xdr:colOff>1180484</xdr:colOff>
      <xdr:row>0</xdr:row>
      <xdr:rowOff>89423</xdr:rowOff>
    </xdr:from>
    <xdr:to>
      <xdr:col>3</xdr:col>
      <xdr:colOff>449369</xdr:colOff>
      <xdr:row>3</xdr:row>
      <xdr:rowOff>142374</xdr:rowOff>
    </xdr:to>
    <xdr:grpSp>
      <xdr:nvGrpSpPr>
        <xdr:cNvPr id="5" name="Group 4">
          <a:extLst>
            <a:ext uri="{FF2B5EF4-FFF2-40B4-BE49-F238E27FC236}">
              <a16:creationId xmlns:a16="http://schemas.microsoft.com/office/drawing/2014/main" id="{5E97B7D1-88D2-48B9-A33C-9F1E60EBD0DF}"/>
            </a:ext>
          </a:extLst>
        </xdr:cNvPr>
        <xdr:cNvGrpSpPr/>
      </xdr:nvGrpSpPr>
      <xdr:grpSpPr>
        <a:xfrm>
          <a:off x="1788463" y="89423"/>
          <a:ext cx="1558938" cy="630531"/>
          <a:chOff x="4772025" y="314325"/>
          <a:chExt cx="1192276" cy="601479"/>
        </a:xfrm>
      </xdr:grpSpPr>
      <xdr:grpSp>
        <xdr:nvGrpSpPr>
          <xdr:cNvPr id="6" name="Group 5">
            <a:hlinkClick xmlns:r="http://schemas.openxmlformats.org/officeDocument/2006/relationships" r:id="rId5"/>
            <a:extLst>
              <a:ext uri="{FF2B5EF4-FFF2-40B4-BE49-F238E27FC236}">
                <a16:creationId xmlns:a16="http://schemas.microsoft.com/office/drawing/2014/main" id="{91C01CD5-D382-05C7-307B-F4553818CAB0}"/>
              </a:ext>
            </a:extLst>
          </xdr:cNvPr>
          <xdr:cNvGrpSpPr>
            <a:grpSpLocks/>
          </xdr:cNvGrpSpPr>
        </xdr:nvGrpSpPr>
        <xdr:grpSpPr>
          <a:xfrm>
            <a:off x="4772025" y="314325"/>
            <a:ext cx="1192276" cy="601479"/>
            <a:chOff x="1016275" y="85726"/>
            <a:chExt cx="1472650" cy="770477"/>
          </a:xfrm>
        </xdr:grpSpPr>
        <xdr:sp macro="" textlink="">
          <xdr:nvSpPr>
            <xdr:cNvPr id="8" name="Rounded Rectangle 27">
              <a:extLst>
                <a:ext uri="{FF2B5EF4-FFF2-40B4-BE49-F238E27FC236}">
                  <a16:creationId xmlns:a16="http://schemas.microsoft.com/office/drawing/2014/main" id="{6B9894B4-1CC3-A80C-47D5-6C7571A96F44}"/>
                </a:ext>
              </a:extLst>
            </xdr:cNvPr>
            <xdr:cNvSpPr/>
          </xdr:nvSpPr>
          <xdr:spPr bwMode="auto">
            <a:xfrm>
              <a:off x="1478280" y="85726"/>
              <a:ext cx="548640" cy="548638"/>
            </a:xfrm>
            <a:prstGeom prst="roundRect">
              <a:avLst/>
            </a:prstGeom>
            <a:solidFill>
              <a:schemeClr val="accent2"/>
            </a:solidFill>
            <a:ln w="9525" cap="flat" cmpd="sng" algn="ctr">
              <a:noFill/>
              <a:prstDash val="solid"/>
              <a:round/>
              <a:headEnd type="none" w="med" len="med"/>
              <a:tailEnd type="none" w="med" len="med"/>
            </a:ln>
            <a:effectLst>
              <a:outerShdw blurRad="107950" dist="12700" dir="5400000" algn="ctr">
                <a:srgbClr val="000000"/>
              </a:outerShdw>
            </a:effectLst>
            <a:scene3d>
              <a:camera prst="orthographicFront">
                <a:rot lat="0" lon="0" rev="0"/>
              </a:camera>
              <a:lightRig rig="soft" dir="t">
                <a:rot lat="0" lon="0" rev="0"/>
              </a:lightRig>
            </a:scene3d>
            <a:sp3d contourW="44450" prstMaterial="matte">
              <a:bevelT w="63500" h="63500" prst="artDeco"/>
              <a:contourClr>
                <a:srgbClr val="FFFFFF"/>
              </a:contourClr>
            </a:sp3d>
          </xdr:spPr>
          <xdr:txBody>
            <a:bodyPr vert="horz" wrap="square" lIns="0" tIns="0" rIns="0" bIns="0" numCol="1" rtlCol="0" anchor="t" anchorCtr="0" compatLnSpc="1">
              <a:prstTxWarp prst="textNoShape">
                <a:avLst/>
              </a:prstTxWarp>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231775" indent="-231775" algn="ctr"/>
              <a:endParaRPr lang="en-US" sz="1800" b="1">
                <a:solidFill>
                  <a:srgbClr val="FFFFFF"/>
                </a:solidFill>
                <a:latin typeface="Univers 57 Condensed" pitchFamily="2" charset="0"/>
                <a:cs typeface="Arial"/>
              </a:endParaRPr>
            </a:p>
          </xdr:txBody>
        </xdr:sp>
        <xdr:sp macro="" textlink="">
          <xdr:nvSpPr>
            <xdr:cNvPr id="9" name="TextBox 8">
              <a:extLst>
                <a:ext uri="{FF2B5EF4-FFF2-40B4-BE49-F238E27FC236}">
                  <a16:creationId xmlns:a16="http://schemas.microsoft.com/office/drawing/2014/main" id="{0DF8368D-8AEB-B74A-B422-97C0C5737BE2}"/>
                </a:ext>
              </a:extLst>
            </xdr:cNvPr>
            <xdr:cNvSpPr txBox="1"/>
          </xdr:nvSpPr>
          <xdr:spPr>
            <a:xfrm>
              <a:off x="1016275" y="673323"/>
              <a:ext cx="1472650" cy="1828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800" b="1">
                  <a:solidFill>
                    <a:schemeClr val="bg1"/>
                  </a:solidFill>
                  <a:latin typeface="Calibri" panose="020F0502020204030204" pitchFamily="34" charset="0"/>
                  <a:ea typeface="Calibri" panose="020F0502020204030204" pitchFamily="34" charset="0"/>
                  <a:cs typeface="Calibri" panose="020F0502020204030204" pitchFamily="34" charset="0"/>
                </a:rPr>
                <a:t>TTC PD</a:t>
              </a:r>
            </a:p>
          </xdr:txBody>
        </xdr:sp>
      </xdr:grpSp>
      <xdr:pic>
        <xdr:nvPicPr>
          <xdr:cNvPr id="7" name="Graphic 8" descr="Calculator with solid fill">
            <a:extLst>
              <a:ext uri="{FF2B5EF4-FFF2-40B4-BE49-F238E27FC236}">
                <a16:creationId xmlns:a16="http://schemas.microsoft.com/office/drawing/2014/main" id="{135A19E0-8258-A0CB-EEE1-793C4AE79B86}"/>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5181600" y="323850"/>
            <a:ext cx="371475" cy="371475"/>
          </a:xfrm>
          <a:prstGeom prst="rect">
            <a:avLst/>
          </a:prstGeom>
        </xdr:spPr>
      </xdr:pic>
    </xdr:grpSp>
    <xdr:clientData/>
  </xdr:twoCellAnchor>
  <xdr:twoCellAnchor>
    <xdr:from>
      <xdr:col>10</xdr:col>
      <xdr:colOff>401731</xdr:colOff>
      <xdr:row>0</xdr:row>
      <xdr:rowOff>83703</xdr:rowOff>
    </xdr:from>
    <xdr:to>
      <xdr:col>11</xdr:col>
      <xdr:colOff>391249</xdr:colOff>
      <xdr:row>3</xdr:row>
      <xdr:rowOff>142463</xdr:rowOff>
    </xdr:to>
    <xdr:grpSp>
      <xdr:nvGrpSpPr>
        <xdr:cNvPr id="10" name="Group 9">
          <a:extLst>
            <a:ext uri="{FF2B5EF4-FFF2-40B4-BE49-F238E27FC236}">
              <a16:creationId xmlns:a16="http://schemas.microsoft.com/office/drawing/2014/main" id="{74FDDC41-EC48-458A-96C1-45EE7A13DBD1}"/>
            </a:ext>
          </a:extLst>
        </xdr:cNvPr>
        <xdr:cNvGrpSpPr/>
      </xdr:nvGrpSpPr>
      <xdr:grpSpPr>
        <a:xfrm>
          <a:off x="7950800" y="83703"/>
          <a:ext cx="1316938" cy="636340"/>
          <a:chOff x="3748088" y="68260"/>
          <a:chExt cx="1316981" cy="607288"/>
        </a:xfrm>
      </xdr:grpSpPr>
      <xdr:grpSp>
        <xdr:nvGrpSpPr>
          <xdr:cNvPr id="11" name="Group 10">
            <a:hlinkClick xmlns:r="http://schemas.openxmlformats.org/officeDocument/2006/relationships" r:id="rId6"/>
            <a:extLst>
              <a:ext uri="{FF2B5EF4-FFF2-40B4-BE49-F238E27FC236}">
                <a16:creationId xmlns:a16="http://schemas.microsoft.com/office/drawing/2014/main" id="{E7B5EC35-4BA2-FB14-BBA7-923B529FD223}"/>
              </a:ext>
            </a:extLst>
          </xdr:cNvPr>
          <xdr:cNvGrpSpPr>
            <a:grpSpLocks/>
          </xdr:cNvGrpSpPr>
        </xdr:nvGrpSpPr>
        <xdr:grpSpPr>
          <a:xfrm>
            <a:off x="3748088" y="68260"/>
            <a:ext cx="1316981" cy="607288"/>
            <a:chOff x="5655609" y="107836"/>
            <a:chExt cx="1316981" cy="607288"/>
          </a:xfrm>
        </xdr:grpSpPr>
        <xdr:sp macro="" textlink="">
          <xdr:nvSpPr>
            <xdr:cNvPr id="13" name="TextBox 12">
              <a:extLst>
                <a:ext uri="{FF2B5EF4-FFF2-40B4-BE49-F238E27FC236}">
                  <a16:creationId xmlns:a16="http://schemas.microsoft.com/office/drawing/2014/main" id="{F1D3B7E3-2BA9-40F0-1448-CA7FBCE67AAA}"/>
                </a:ext>
              </a:extLst>
            </xdr:cNvPr>
            <xdr:cNvSpPr txBox="1"/>
          </xdr:nvSpPr>
          <xdr:spPr>
            <a:xfrm>
              <a:off x="5655609" y="574456"/>
              <a:ext cx="1316981" cy="14066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800" b="1">
                  <a:solidFill>
                    <a:schemeClr val="bg1"/>
                  </a:solidFill>
                  <a:latin typeface="Calibri" panose="020F0502020204030204" pitchFamily="34" charset="0"/>
                  <a:ea typeface="Calibri" panose="020F0502020204030204" pitchFamily="34" charset="0"/>
                  <a:cs typeface="Calibri" panose="020F0502020204030204" pitchFamily="34" charset="0"/>
                </a:rPr>
                <a:t>PIT PD</a:t>
              </a:r>
            </a:p>
          </xdr:txBody>
        </xdr:sp>
        <xdr:sp macro="" textlink="">
          <xdr:nvSpPr>
            <xdr:cNvPr id="14" name="Rounded Rectangle 32">
              <a:extLst>
                <a:ext uri="{FF2B5EF4-FFF2-40B4-BE49-F238E27FC236}">
                  <a16:creationId xmlns:a16="http://schemas.microsoft.com/office/drawing/2014/main" id="{E5EB63F8-76C5-DE3E-9F1E-D0A16823D215}"/>
                </a:ext>
              </a:extLst>
            </xdr:cNvPr>
            <xdr:cNvSpPr/>
          </xdr:nvSpPr>
          <xdr:spPr bwMode="auto">
            <a:xfrm>
              <a:off x="6097274" y="107836"/>
              <a:ext cx="446041" cy="422003"/>
            </a:xfrm>
            <a:prstGeom prst="roundRect">
              <a:avLst/>
            </a:prstGeom>
            <a:solidFill>
              <a:schemeClr val="accent2"/>
            </a:solidFill>
            <a:ln w="9525" cap="flat" cmpd="sng" algn="ctr">
              <a:noFill/>
              <a:prstDash val="solid"/>
              <a:round/>
              <a:headEnd type="none" w="med" len="med"/>
              <a:tailEnd type="none" w="med" len="med"/>
            </a:ln>
            <a:effectLst>
              <a:outerShdw blurRad="107950" dist="12700" dir="5400000" algn="ctr">
                <a:srgbClr val="000000"/>
              </a:outerShdw>
            </a:effectLst>
            <a:scene3d>
              <a:camera prst="orthographicFront">
                <a:rot lat="0" lon="0" rev="0"/>
              </a:camera>
              <a:lightRig rig="soft" dir="t">
                <a:rot lat="0" lon="0" rev="0"/>
              </a:lightRig>
            </a:scene3d>
            <a:sp3d contourW="44450" prstMaterial="matte">
              <a:bevelT w="63500" h="63500" prst="artDeco"/>
              <a:contourClr>
                <a:srgbClr val="FFFFFF"/>
              </a:contourClr>
            </a:sp3d>
          </xdr:spPr>
          <xdr:txBody>
            <a:bodyPr vert="horz" wrap="square" lIns="0" tIns="0" rIns="0" bIns="0" numCol="1" rtlCol="0" anchor="t" anchorCtr="0" compatLnSpc="1">
              <a:prstTxWarp prst="textNoShape">
                <a:avLst/>
              </a:prstTxWarp>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231775" indent="-231775" algn="ctr"/>
              <a:endParaRPr lang="en-US" sz="1800" b="1">
                <a:solidFill>
                  <a:srgbClr val="FFFFFF"/>
                </a:solidFill>
                <a:latin typeface="Univers 57 Condensed" pitchFamily="2" charset="0"/>
                <a:cs typeface="Arial"/>
              </a:endParaRPr>
            </a:p>
          </xdr:txBody>
        </xdr:sp>
      </xdr:grpSp>
      <xdr:pic>
        <xdr:nvPicPr>
          <xdr:cNvPr id="12" name="Graphic 12" descr="Bar graph with downward trend with solid fill">
            <a:extLst>
              <a:ext uri="{FF2B5EF4-FFF2-40B4-BE49-F238E27FC236}">
                <a16:creationId xmlns:a16="http://schemas.microsoft.com/office/drawing/2014/main" id="{2B654C94-CE88-5BDB-9B4B-E8E3245EDE3B}"/>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4242198" y="126207"/>
            <a:ext cx="314325" cy="314325"/>
          </a:xfrm>
          <a:prstGeom prst="rect">
            <a:avLst/>
          </a:prstGeom>
        </xdr:spPr>
      </xdr:pic>
    </xdr:grpSp>
    <xdr:clientData/>
  </xdr:twoCellAnchor>
  <xdr:twoCellAnchor>
    <xdr:from>
      <xdr:col>3</xdr:col>
      <xdr:colOff>166476</xdr:colOff>
      <xdr:row>0</xdr:row>
      <xdr:rowOff>78824</xdr:rowOff>
    </xdr:from>
    <xdr:to>
      <xdr:col>5</xdr:col>
      <xdr:colOff>291599</xdr:colOff>
      <xdr:row>3</xdr:row>
      <xdr:rowOff>137585</xdr:rowOff>
    </xdr:to>
    <xdr:grpSp>
      <xdr:nvGrpSpPr>
        <xdr:cNvPr id="15" name="Group 14">
          <a:extLst>
            <a:ext uri="{FF2B5EF4-FFF2-40B4-BE49-F238E27FC236}">
              <a16:creationId xmlns:a16="http://schemas.microsoft.com/office/drawing/2014/main" id="{F1537C10-C9A3-494D-96BF-58AE004B926B}"/>
            </a:ext>
          </a:extLst>
        </xdr:cNvPr>
        <xdr:cNvGrpSpPr/>
      </xdr:nvGrpSpPr>
      <xdr:grpSpPr>
        <a:xfrm>
          <a:off x="3064508" y="78824"/>
          <a:ext cx="1736267" cy="636341"/>
          <a:chOff x="5934075" y="276225"/>
          <a:chExt cx="1316981" cy="607289"/>
        </a:xfrm>
      </xdr:grpSpPr>
      <xdr:grpSp>
        <xdr:nvGrpSpPr>
          <xdr:cNvPr id="16" name="Group 15">
            <a:extLst>
              <a:ext uri="{FF2B5EF4-FFF2-40B4-BE49-F238E27FC236}">
                <a16:creationId xmlns:a16="http://schemas.microsoft.com/office/drawing/2014/main" id="{3B9B4B08-C399-7170-CD75-C0639C7DCA18}"/>
              </a:ext>
            </a:extLst>
          </xdr:cNvPr>
          <xdr:cNvGrpSpPr>
            <a:grpSpLocks/>
          </xdr:cNvGrpSpPr>
        </xdr:nvGrpSpPr>
        <xdr:grpSpPr>
          <a:xfrm>
            <a:off x="5934075" y="276225"/>
            <a:ext cx="1316981" cy="607289"/>
            <a:chOff x="647368" y="981075"/>
            <a:chExt cx="1619915" cy="789528"/>
          </a:xfrm>
        </xdr:grpSpPr>
        <xdr:sp macro="" textlink="">
          <xdr:nvSpPr>
            <xdr:cNvPr id="18" name="TextBox 17">
              <a:extLst>
                <a:ext uri="{FF2B5EF4-FFF2-40B4-BE49-F238E27FC236}">
                  <a16:creationId xmlns:a16="http://schemas.microsoft.com/office/drawing/2014/main" id="{03A2CCF3-A76D-D7F5-7DC9-17A10457E392}"/>
                </a:ext>
              </a:extLst>
            </xdr:cNvPr>
            <xdr:cNvSpPr txBox="1"/>
          </xdr:nvSpPr>
          <xdr:spPr>
            <a:xfrm>
              <a:off x="647368" y="1587723"/>
              <a:ext cx="1619915" cy="1828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800" b="1">
                  <a:solidFill>
                    <a:schemeClr val="bg1"/>
                  </a:solidFill>
                  <a:latin typeface="Calibri" panose="020F0502020204030204" pitchFamily="34" charset="0"/>
                  <a:ea typeface="Calibri" panose="020F0502020204030204" pitchFamily="34" charset="0"/>
                  <a:cs typeface="Calibri" panose="020F0502020204030204" pitchFamily="34" charset="0"/>
                </a:rPr>
                <a:t>MEV</a:t>
              </a:r>
            </a:p>
          </xdr:txBody>
        </xdr:sp>
        <xdr:sp macro="" textlink="">
          <xdr:nvSpPr>
            <xdr:cNvPr id="19" name="Rounded Rectangle 32">
              <a:extLst>
                <a:ext uri="{FF2B5EF4-FFF2-40B4-BE49-F238E27FC236}">
                  <a16:creationId xmlns:a16="http://schemas.microsoft.com/office/drawing/2014/main" id="{239B32D8-36BE-4C51-3751-F70A7E8E8891}"/>
                </a:ext>
              </a:extLst>
            </xdr:cNvPr>
            <xdr:cNvSpPr/>
          </xdr:nvSpPr>
          <xdr:spPr bwMode="auto">
            <a:xfrm>
              <a:off x="1190625" y="981075"/>
              <a:ext cx="548640" cy="548640"/>
            </a:xfrm>
            <a:prstGeom prst="roundRect">
              <a:avLst/>
            </a:prstGeom>
            <a:solidFill>
              <a:schemeClr val="accent2"/>
            </a:solidFill>
            <a:ln w="9525" cap="flat" cmpd="sng" algn="ctr">
              <a:noFill/>
              <a:prstDash val="solid"/>
              <a:round/>
              <a:headEnd type="none" w="med" len="med"/>
              <a:tailEnd type="none" w="med" len="med"/>
            </a:ln>
            <a:effectLst>
              <a:outerShdw blurRad="107950" dist="12700" dir="5400000" algn="ctr">
                <a:srgbClr val="000000"/>
              </a:outerShdw>
            </a:effectLst>
            <a:scene3d>
              <a:camera prst="orthographicFront">
                <a:rot lat="0" lon="0" rev="0"/>
              </a:camera>
              <a:lightRig rig="soft" dir="t">
                <a:rot lat="0" lon="0" rev="0"/>
              </a:lightRig>
            </a:scene3d>
            <a:sp3d contourW="44450" prstMaterial="matte">
              <a:bevelT w="63500" h="63500" prst="artDeco"/>
              <a:contourClr>
                <a:srgbClr val="FFFFFF"/>
              </a:contourClr>
            </a:sp3d>
          </xdr:spPr>
          <xdr:txBody>
            <a:bodyPr vert="horz" wrap="square" lIns="0" tIns="0" rIns="0" bIns="0" numCol="1" rtlCol="0" anchor="t" anchorCtr="0" compatLnSpc="1">
              <a:prstTxWarp prst="textNoShape">
                <a:avLst/>
              </a:prstTxWarp>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231775" indent="-231775" algn="ctr"/>
              <a:endParaRPr lang="en-US" sz="1800" b="1">
                <a:solidFill>
                  <a:srgbClr val="FFFFFF"/>
                </a:solidFill>
                <a:latin typeface="Univers 57 Condensed" pitchFamily="2" charset="0"/>
                <a:cs typeface="Arial"/>
              </a:endParaRPr>
            </a:p>
          </xdr:txBody>
        </xdr:sp>
      </xdr:grpSp>
      <xdr:pic>
        <xdr:nvPicPr>
          <xdr:cNvPr id="17" name="Graphic 10" descr="Downward trend graph with solid fill">
            <a:hlinkClick xmlns:r="http://schemas.openxmlformats.org/officeDocument/2006/relationships" r:id="rId7"/>
            <a:extLst>
              <a:ext uri="{FF2B5EF4-FFF2-40B4-BE49-F238E27FC236}">
                <a16:creationId xmlns:a16="http://schemas.microsoft.com/office/drawing/2014/main" id="{F0DD479B-6FE8-6CA1-E701-937F3D26061C}"/>
              </a:ext>
            </a:extLst>
          </xdr:cNvPr>
          <xdr:cNvPicPr>
            <a:picLocks noChangeAspect="1"/>
          </xdr:cNvPicPr>
        </xdr:nvPicPr>
        <xdr:blipFill>
          <a:blip xmlns:r="http://schemas.openxmlformats.org/officeDocument/2006/relationships" r:embed="rId8">
            <a:extLst>
              <a:ext uri="{96DAC541-7B7A-43D3-8B79-37D633B846F1}">
                <asvg:svgBlip xmlns:asvg="http://schemas.microsoft.com/office/drawing/2016/SVG/main" r:embed="rId9"/>
              </a:ext>
            </a:extLst>
          </a:blip>
          <a:stretch>
            <a:fillRect/>
          </a:stretch>
        </xdr:blipFill>
        <xdr:spPr>
          <a:xfrm>
            <a:off x="6429375" y="304800"/>
            <a:ext cx="323850" cy="323850"/>
          </a:xfrm>
          <a:prstGeom prst="rect">
            <a:avLst/>
          </a:prstGeom>
        </xdr:spPr>
      </xdr:pic>
    </xdr:grpSp>
    <xdr:clientData/>
  </xdr:twoCellAnchor>
  <xdr:twoCellAnchor editAs="absolute">
    <xdr:from>
      <xdr:col>5</xdr:col>
      <xdr:colOff>77174</xdr:colOff>
      <xdr:row>0</xdr:row>
      <xdr:rowOff>160031</xdr:rowOff>
    </xdr:from>
    <xdr:to>
      <xdr:col>7</xdr:col>
      <xdr:colOff>174667</xdr:colOff>
      <xdr:row>3</xdr:row>
      <xdr:rowOff>1830</xdr:rowOff>
    </xdr:to>
    <xdr:sp macro="" textlink="">
      <xdr:nvSpPr>
        <xdr:cNvPr id="20" name="Arrow: Right 19">
          <a:hlinkClick xmlns:r="http://schemas.openxmlformats.org/officeDocument/2006/relationships" r:id="rId10"/>
          <a:extLst>
            <a:ext uri="{FF2B5EF4-FFF2-40B4-BE49-F238E27FC236}">
              <a16:creationId xmlns:a16="http://schemas.microsoft.com/office/drawing/2014/main" id="{33DAEAE0-C287-4433-8658-05192E991B70}"/>
            </a:ext>
          </a:extLst>
        </xdr:cNvPr>
        <xdr:cNvSpPr/>
      </xdr:nvSpPr>
      <xdr:spPr>
        <a:xfrm>
          <a:off x="4582499" y="160031"/>
          <a:ext cx="1316693" cy="413299"/>
        </a:xfrm>
        <a:prstGeom prst="rightArrow">
          <a:avLst/>
        </a:prstGeom>
        <a:solidFill>
          <a:schemeClr val="accent1"/>
        </a:solidFill>
        <a:ln>
          <a:noFill/>
        </a:ln>
        <a:effectLst>
          <a:outerShdw blurRad="107950" dist="12700" dir="5400000" algn="ctr">
            <a:srgbClr val="000000"/>
          </a:outerShdw>
        </a:effectLst>
        <a:scene3d>
          <a:camera prst="orthographicFront">
            <a:rot lat="0" lon="0" rev="0"/>
          </a:camera>
          <a:lightRig rig="soft" dir="t">
            <a:rot lat="0" lon="0" rev="0"/>
          </a:lightRig>
        </a:scene3d>
        <a:sp3d contourW="44450" prstMaterial="matte">
          <a:bevelT w="63500" h="63500" prst="artDeco"/>
          <a:contourClr>
            <a:srgbClr val="FFFFFF"/>
          </a:contourClr>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800" b="1">
              <a:latin typeface="Calibri" panose="020F0502020204030204" pitchFamily="34" charset="0"/>
              <a:ea typeface="Calibri" panose="020F0502020204030204" pitchFamily="34" charset="0"/>
              <a:cs typeface="Calibri" panose="020F0502020204030204" pitchFamily="34" charset="0"/>
            </a:rPr>
            <a:t>VASICEK</a:t>
          </a:r>
          <a:endParaRPr lang="en-US" sz="800" b="1" baseline="0">
            <a:latin typeface="Calibri" panose="020F0502020204030204" pitchFamily="34" charset="0"/>
            <a:ea typeface="Calibri" panose="020F0502020204030204" pitchFamily="34" charset="0"/>
            <a:cs typeface="Calibri" panose="020F0502020204030204" pitchFamily="34" charset="0"/>
          </a:endParaRPr>
        </a:p>
      </xdr:txBody>
    </xdr:sp>
    <xdr:clientData/>
  </xdr:twoCellAnchor>
  <xdr:twoCellAnchor editAs="absolute">
    <xdr:from>
      <xdr:col>7</xdr:col>
      <xdr:colOff>346506</xdr:colOff>
      <xdr:row>0</xdr:row>
      <xdr:rowOff>160031</xdr:rowOff>
    </xdr:from>
    <xdr:to>
      <xdr:col>9</xdr:col>
      <xdr:colOff>434810</xdr:colOff>
      <xdr:row>3</xdr:row>
      <xdr:rowOff>1830</xdr:rowOff>
    </xdr:to>
    <xdr:sp macro="" textlink="">
      <xdr:nvSpPr>
        <xdr:cNvPr id="21" name="Arrow: Right 20">
          <a:hlinkClick xmlns:r="http://schemas.openxmlformats.org/officeDocument/2006/relationships" r:id="rId11"/>
          <a:extLst>
            <a:ext uri="{FF2B5EF4-FFF2-40B4-BE49-F238E27FC236}">
              <a16:creationId xmlns:a16="http://schemas.microsoft.com/office/drawing/2014/main" id="{B421C6C5-A356-4259-8830-31267C805B1A}"/>
            </a:ext>
          </a:extLst>
        </xdr:cNvPr>
        <xdr:cNvSpPr/>
      </xdr:nvSpPr>
      <xdr:spPr>
        <a:xfrm>
          <a:off x="6071031" y="160031"/>
          <a:ext cx="1307504" cy="413299"/>
        </a:xfrm>
        <a:prstGeom prst="rightArrow">
          <a:avLst/>
        </a:prstGeom>
        <a:solidFill>
          <a:schemeClr val="accent6"/>
        </a:solidFill>
        <a:ln>
          <a:noFill/>
        </a:ln>
        <a:effectLst>
          <a:outerShdw blurRad="107950" dist="12700" dir="5400000" algn="ctr">
            <a:srgbClr val="000000"/>
          </a:outerShdw>
        </a:effectLst>
        <a:scene3d>
          <a:camera prst="orthographicFront">
            <a:rot lat="0" lon="0" rev="0"/>
          </a:camera>
          <a:lightRig rig="soft" dir="t">
            <a:rot lat="0" lon="0" rev="0"/>
          </a:lightRig>
        </a:scene3d>
        <a:sp3d contourW="44450" prstMaterial="matte">
          <a:bevelT w="63500" h="63500" prst="artDeco"/>
          <a:contourClr>
            <a:srgbClr val="FFFFFF"/>
          </a:contourClr>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800" b="1">
              <a:latin typeface="Calibri" panose="020F0502020204030204" pitchFamily="34" charset="0"/>
              <a:ea typeface="Calibri" panose="020F0502020204030204" pitchFamily="34" charset="0"/>
              <a:cs typeface="Calibri" panose="020F0502020204030204" pitchFamily="34" charset="0"/>
            </a:rPr>
            <a:t>SURVIVAL ANALYSIS</a:t>
          </a:r>
          <a:endParaRPr lang="en-US" sz="800" b="1" baseline="0">
            <a:latin typeface="Calibri" panose="020F0502020204030204" pitchFamily="34" charset="0"/>
            <a:ea typeface="Calibri" panose="020F0502020204030204" pitchFamily="34" charset="0"/>
            <a:cs typeface="Calibri" panose="020F0502020204030204" pitchFamily="34" charset="0"/>
          </a:endParaRPr>
        </a:p>
      </xdr:txBody>
    </xdr:sp>
    <xdr:clientData/>
  </xdr:twoCellAnchor>
  <xdr:twoCellAnchor>
    <xdr:from>
      <xdr:col>0</xdr:col>
      <xdr:colOff>246529</xdr:colOff>
      <xdr:row>0</xdr:row>
      <xdr:rowOff>89647</xdr:rowOff>
    </xdr:from>
    <xdr:to>
      <xdr:col>1</xdr:col>
      <xdr:colOff>833687</xdr:colOff>
      <xdr:row>3</xdr:row>
      <xdr:rowOff>129151</xdr:rowOff>
    </xdr:to>
    <xdr:grpSp>
      <xdr:nvGrpSpPr>
        <xdr:cNvPr id="22" name="Group 21">
          <a:hlinkClick xmlns:r="http://schemas.openxmlformats.org/officeDocument/2006/relationships" r:id="rId12"/>
          <a:extLst>
            <a:ext uri="{FF2B5EF4-FFF2-40B4-BE49-F238E27FC236}">
              <a16:creationId xmlns:a16="http://schemas.microsoft.com/office/drawing/2014/main" id="{2581C71A-AFF9-481F-B62C-36709C937624}"/>
            </a:ext>
          </a:extLst>
        </xdr:cNvPr>
        <xdr:cNvGrpSpPr/>
      </xdr:nvGrpSpPr>
      <xdr:grpSpPr>
        <a:xfrm>
          <a:off x="246529" y="89647"/>
          <a:ext cx="1195137" cy="617084"/>
          <a:chOff x="323851" y="104775"/>
          <a:chExt cx="1192276" cy="611004"/>
        </a:xfrm>
      </xdr:grpSpPr>
      <xdr:grpSp>
        <xdr:nvGrpSpPr>
          <xdr:cNvPr id="23" name="Group 22">
            <a:hlinkClick xmlns:r="http://schemas.openxmlformats.org/officeDocument/2006/relationships" r:id="rId13"/>
            <a:extLst>
              <a:ext uri="{FF2B5EF4-FFF2-40B4-BE49-F238E27FC236}">
                <a16:creationId xmlns:a16="http://schemas.microsoft.com/office/drawing/2014/main" id="{D198B412-43AE-37AD-5B20-7B4958918FB3}"/>
              </a:ext>
            </a:extLst>
          </xdr:cNvPr>
          <xdr:cNvGrpSpPr>
            <a:grpSpLocks/>
          </xdr:cNvGrpSpPr>
        </xdr:nvGrpSpPr>
        <xdr:grpSpPr>
          <a:xfrm>
            <a:off x="323851" y="114300"/>
            <a:ext cx="1192276" cy="601479"/>
            <a:chOff x="1016275" y="85726"/>
            <a:chExt cx="1472650" cy="770477"/>
          </a:xfrm>
        </xdr:grpSpPr>
        <xdr:sp macro="" textlink="">
          <xdr:nvSpPr>
            <xdr:cNvPr id="25" name="Rounded Rectangle 27">
              <a:extLst>
                <a:ext uri="{FF2B5EF4-FFF2-40B4-BE49-F238E27FC236}">
                  <a16:creationId xmlns:a16="http://schemas.microsoft.com/office/drawing/2014/main" id="{1A3CF5CC-0D76-EAC7-DDD0-864F1B32C92B}"/>
                </a:ext>
              </a:extLst>
            </xdr:cNvPr>
            <xdr:cNvSpPr/>
          </xdr:nvSpPr>
          <xdr:spPr bwMode="auto">
            <a:xfrm>
              <a:off x="1478280" y="85726"/>
              <a:ext cx="548640" cy="548638"/>
            </a:xfrm>
            <a:prstGeom prst="roundRect">
              <a:avLst/>
            </a:prstGeom>
            <a:solidFill>
              <a:schemeClr val="accent2"/>
            </a:solidFill>
            <a:ln w="9525" cap="flat" cmpd="sng" algn="ctr">
              <a:noFill/>
              <a:prstDash val="solid"/>
              <a:round/>
              <a:headEnd type="none" w="med" len="med"/>
              <a:tailEnd type="none" w="med" len="med"/>
            </a:ln>
            <a:effectLst>
              <a:outerShdw blurRad="107950" dist="12700" dir="5400000" algn="ctr">
                <a:srgbClr val="000000"/>
              </a:outerShdw>
            </a:effectLst>
            <a:scene3d>
              <a:camera prst="orthographicFront">
                <a:rot lat="0" lon="0" rev="0"/>
              </a:camera>
              <a:lightRig rig="soft" dir="t">
                <a:rot lat="0" lon="0" rev="0"/>
              </a:lightRig>
            </a:scene3d>
            <a:sp3d contourW="44450" prstMaterial="matte">
              <a:bevelT w="63500" h="63500" prst="artDeco"/>
              <a:contourClr>
                <a:srgbClr val="FFFFFF"/>
              </a:contourClr>
            </a:sp3d>
          </xdr:spPr>
          <xdr:txBody>
            <a:bodyPr vert="horz" wrap="square" lIns="0" tIns="0" rIns="0" bIns="0" numCol="1" rtlCol="0" anchor="t" anchorCtr="0" compatLnSpc="1">
              <a:prstTxWarp prst="textNoShape">
                <a:avLst/>
              </a:prstTxWarp>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231775" indent="-231775" algn="ctr"/>
              <a:endParaRPr lang="en-US" sz="1800" b="1">
                <a:solidFill>
                  <a:srgbClr val="FFFFFF"/>
                </a:solidFill>
                <a:latin typeface="Univers 57 Condensed" pitchFamily="2" charset="0"/>
                <a:cs typeface="Arial"/>
              </a:endParaRPr>
            </a:p>
          </xdr:txBody>
        </xdr:sp>
        <xdr:sp macro="" textlink="">
          <xdr:nvSpPr>
            <xdr:cNvPr id="26" name="TextBox 25">
              <a:extLst>
                <a:ext uri="{FF2B5EF4-FFF2-40B4-BE49-F238E27FC236}">
                  <a16:creationId xmlns:a16="http://schemas.microsoft.com/office/drawing/2014/main" id="{B106CCA9-B970-56CE-EF35-D4219BD0E1AE}"/>
                </a:ext>
              </a:extLst>
            </xdr:cNvPr>
            <xdr:cNvSpPr txBox="1"/>
          </xdr:nvSpPr>
          <xdr:spPr>
            <a:xfrm>
              <a:off x="1016275" y="673323"/>
              <a:ext cx="1472650" cy="1828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800" b="1">
                  <a:solidFill>
                    <a:schemeClr val="bg1"/>
                  </a:solidFill>
                  <a:latin typeface="Calibri" panose="020F0502020204030204" pitchFamily="34" charset="0"/>
                  <a:ea typeface="Calibri" panose="020F0502020204030204" pitchFamily="34" charset="0"/>
                  <a:cs typeface="Calibri" panose="020F0502020204030204" pitchFamily="34" charset="0"/>
                </a:rPr>
                <a:t>Home</a:t>
              </a:r>
            </a:p>
          </xdr:txBody>
        </xdr:sp>
      </xdr:grpSp>
      <xdr:pic>
        <xdr:nvPicPr>
          <xdr:cNvPr id="24" name="Graphic 23" descr="Home outline">
            <a:extLst>
              <a:ext uri="{FF2B5EF4-FFF2-40B4-BE49-F238E27FC236}">
                <a16:creationId xmlns:a16="http://schemas.microsoft.com/office/drawing/2014/main" id="{3132B2F9-D4B5-3615-F63B-3EE3B1C69739}"/>
              </a:ext>
            </a:extLst>
          </xdr:cNvPr>
          <xdr:cNvPicPr>
            <a:picLocks noChangeAspect="1"/>
          </xdr:cNvPicPr>
        </xdr:nvPicPr>
        <xdr:blipFill>
          <a:blip xmlns:r="http://schemas.openxmlformats.org/officeDocument/2006/relationships" r:embed="rId14">
            <a:extLst>
              <a:ext uri="{96DAC541-7B7A-43D3-8B79-37D633B846F1}">
                <asvg:svgBlip xmlns:asvg="http://schemas.microsoft.com/office/drawing/2016/SVG/main" r:embed="rId15"/>
              </a:ext>
            </a:extLst>
          </a:blip>
          <a:stretch>
            <a:fillRect/>
          </a:stretch>
        </xdr:blipFill>
        <xdr:spPr>
          <a:xfrm>
            <a:off x="723900" y="104775"/>
            <a:ext cx="390525" cy="390525"/>
          </a:xfrm>
          <a:prstGeom prst="rect">
            <a:avLst/>
          </a:prstGeom>
        </xdr:spPr>
      </xdr:pic>
    </xdr:grpSp>
    <xdr:clientData/>
  </xdr:twoCellAnchor>
</xdr:wsDr>
</file>

<file path=xl/drawings/drawing10.xml><?xml version="1.0" encoding="utf-8"?>
<xdr:wsDr xmlns:xdr="http://schemas.openxmlformats.org/drawingml/2006/spreadsheetDrawing" xmlns:a="http://schemas.openxmlformats.org/drawingml/2006/main">
  <xdr:twoCellAnchor editAs="absolute">
    <xdr:from>
      <xdr:col>0</xdr:col>
      <xdr:colOff>0</xdr:colOff>
      <xdr:row>0</xdr:row>
      <xdr:rowOff>0</xdr:rowOff>
    </xdr:from>
    <xdr:to>
      <xdr:col>39</xdr:col>
      <xdr:colOff>83737</xdr:colOff>
      <xdr:row>4</xdr:row>
      <xdr:rowOff>25588</xdr:rowOff>
    </xdr:to>
    <xdr:sp macro="" textlink="">
      <xdr:nvSpPr>
        <xdr:cNvPr id="7" name="Rectangle 6">
          <a:extLst>
            <a:ext uri="{FF2B5EF4-FFF2-40B4-BE49-F238E27FC236}">
              <a16:creationId xmlns:a16="http://schemas.microsoft.com/office/drawing/2014/main" id="{F1A1A2B3-05A7-4A04-9ADC-4D6C7F39D37A}"/>
            </a:ext>
          </a:extLst>
        </xdr:cNvPr>
        <xdr:cNvSpPr>
          <a:spLocks/>
        </xdr:cNvSpPr>
      </xdr:nvSpPr>
      <xdr:spPr>
        <a:xfrm>
          <a:off x="0" y="0"/>
          <a:ext cx="26487037" cy="762188"/>
        </a:xfrm>
        <a:prstGeom prst="rect">
          <a:avLst/>
        </a:prstGeom>
        <a:solidFill>
          <a:srgbClr val="0C769E"/>
        </a:solidFill>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algn="l"/>
          <a:endParaRPr lang="en-US" sz="1100"/>
        </a:p>
      </xdr:txBody>
    </xdr:sp>
    <xdr:clientData/>
  </xdr:twoCellAnchor>
  <xdr:twoCellAnchor>
    <xdr:from>
      <xdr:col>1</xdr:col>
      <xdr:colOff>139700</xdr:colOff>
      <xdr:row>0</xdr:row>
      <xdr:rowOff>127000</xdr:rowOff>
    </xdr:from>
    <xdr:to>
      <xdr:col>2</xdr:col>
      <xdr:colOff>274387</xdr:colOff>
      <xdr:row>3</xdr:row>
      <xdr:rowOff>161235</xdr:rowOff>
    </xdr:to>
    <xdr:grpSp>
      <xdr:nvGrpSpPr>
        <xdr:cNvPr id="8" name="Group 7">
          <a:hlinkClick xmlns:r="http://schemas.openxmlformats.org/officeDocument/2006/relationships" r:id="rId1"/>
          <a:extLst>
            <a:ext uri="{FF2B5EF4-FFF2-40B4-BE49-F238E27FC236}">
              <a16:creationId xmlns:a16="http://schemas.microsoft.com/office/drawing/2014/main" id="{D6EEFB96-0A88-4C3B-8A03-BCCA5C78B68C}"/>
            </a:ext>
          </a:extLst>
        </xdr:cNvPr>
        <xdr:cNvGrpSpPr/>
      </xdr:nvGrpSpPr>
      <xdr:grpSpPr>
        <a:xfrm>
          <a:off x="749300" y="127000"/>
          <a:ext cx="1144337" cy="605735"/>
          <a:chOff x="323851" y="104775"/>
          <a:chExt cx="1192276" cy="611004"/>
        </a:xfrm>
      </xdr:grpSpPr>
      <xdr:grpSp>
        <xdr:nvGrpSpPr>
          <xdr:cNvPr id="9" name="Group 8">
            <a:hlinkClick xmlns:r="http://schemas.openxmlformats.org/officeDocument/2006/relationships" r:id="rId2"/>
            <a:extLst>
              <a:ext uri="{FF2B5EF4-FFF2-40B4-BE49-F238E27FC236}">
                <a16:creationId xmlns:a16="http://schemas.microsoft.com/office/drawing/2014/main" id="{55CEC312-81B0-C8D2-B922-9937815AE60F}"/>
              </a:ext>
            </a:extLst>
          </xdr:cNvPr>
          <xdr:cNvGrpSpPr>
            <a:grpSpLocks/>
          </xdr:cNvGrpSpPr>
        </xdr:nvGrpSpPr>
        <xdr:grpSpPr>
          <a:xfrm>
            <a:off x="323851" y="114300"/>
            <a:ext cx="1192276" cy="601479"/>
            <a:chOff x="1016275" y="85726"/>
            <a:chExt cx="1472650" cy="770477"/>
          </a:xfrm>
        </xdr:grpSpPr>
        <xdr:sp macro="" textlink="">
          <xdr:nvSpPr>
            <xdr:cNvPr id="11" name="Rounded Rectangle 27">
              <a:extLst>
                <a:ext uri="{FF2B5EF4-FFF2-40B4-BE49-F238E27FC236}">
                  <a16:creationId xmlns:a16="http://schemas.microsoft.com/office/drawing/2014/main" id="{308A182A-02DF-F319-26E4-34F7011486A2}"/>
                </a:ext>
              </a:extLst>
            </xdr:cNvPr>
            <xdr:cNvSpPr/>
          </xdr:nvSpPr>
          <xdr:spPr bwMode="auto">
            <a:xfrm>
              <a:off x="1478280" y="85726"/>
              <a:ext cx="548640" cy="548638"/>
            </a:xfrm>
            <a:prstGeom prst="roundRect">
              <a:avLst/>
            </a:prstGeom>
            <a:solidFill>
              <a:schemeClr val="accent2"/>
            </a:solidFill>
            <a:ln w="9525" cap="flat" cmpd="sng" algn="ctr">
              <a:noFill/>
              <a:prstDash val="solid"/>
              <a:round/>
              <a:headEnd type="none" w="med" len="med"/>
              <a:tailEnd type="none" w="med" len="med"/>
            </a:ln>
            <a:effectLst>
              <a:outerShdw blurRad="107950" dist="12700" dir="5400000" algn="ctr">
                <a:srgbClr val="000000"/>
              </a:outerShdw>
            </a:effectLst>
            <a:scene3d>
              <a:camera prst="orthographicFront">
                <a:rot lat="0" lon="0" rev="0"/>
              </a:camera>
              <a:lightRig rig="soft" dir="t">
                <a:rot lat="0" lon="0" rev="0"/>
              </a:lightRig>
            </a:scene3d>
            <a:sp3d contourW="44450" prstMaterial="matte">
              <a:bevelT w="63500" h="63500" prst="artDeco"/>
              <a:contourClr>
                <a:srgbClr val="FFFFFF"/>
              </a:contourClr>
            </a:sp3d>
          </xdr:spPr>
          <xdr:txBody>
            <a:bodyPr vert="horz" wrap="square" lIns="0" tIns="0" rIns="0" bIns="0" numCol="1" rtlCol="0" anchor="t" anchorCtr="0" compatLnSpc="1">
              <a:prstTxWarp prst="textNoShape">
                <a:avLst/>
              </a:prstTxWarp>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231775" indent="-231775" algn="ctr"/>
              <a:endParaRPr lang="en-US" sz="1800" b="1">
                <a:solidFill>
                  <a:srgbClr val="FFFFFF"/>
                </a:solidFill>
                <a:latin typeface="Univers 57 Condensed" pitchFamily="2" charset="0"/>
                <a:cs typeface="Arial"/>
              </a:endParaRPr>
            </a:p>
          </xdr:txBody>
        </xdr:sp>
        <xdr:sp macro="" textlink="">
          <xdr:nvSpPr>
            <xdr:cNvPr id="12" name="TextBox 11">
              <a:extLst>
                <a:ext uri="{FF2B5EF4-FFF2-40B4-BE49-F238E27FC236}">
                  <a16:creationId xmlns:a16="http://schemas.microsoft.com/office/drawing/2014/main" id="{58039F3E-F5CE-72F2-69EB-C6EBC80372EF}"/>
                </a:ext>
              </a:extLst>
            </xdr:cNvPr>
            <xdr:cNvSpPr txBox="1"/>
          </xdr:nvSpPr>
          <xdr:spPr>
            <a:xfrm>
              <a:off x="1016275" y="673323"/>
              <a:ext cx="1472650" cy="1828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800" b="1">
                  <a:solidFill>
                    <a:schemeClr val="bg1"/>
                  </a:solidFill>
                  <a:latin typeface="Calibri" panose="020F0502020204030204" pitchFamily="34" charset="0"/>
                  <a:ea typeface="Calibri" panose="020F0502020204030204" pitchFamily="34" charset="0"/>
                  <a:cs typeface="Calibri" panose="020F0502020204030204" pitchFamily="34" charset="0"/>
                </a:rPr>
                <a:t>Home</a:t>
              </a:r>
            </a:p>
          </xdr:txBody>
        </xdr:sp>
      </xdr:grpSp>
      <xdr:pic>
        <xdr:nvPicPr>
          <xdr:cNvPr id="10" name="Graphic 9" descr="Home outline">
            <a:extLst>
              <a:ext uri="{FF2B5EF4-FFF2-40B4-BE49-F238E27FC236}">
                <a16:creationId xmlns:a16="http://schemas.microsoft.com/office/drawing/2014/main" id="{F629BBD3-37AB-FC2C-4A8A-AD74793E6417}"/>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723900" y="104775"/>
            <a:ext cx="390525" cy="390525"/>
          </a:xfrm>
          <a:prstGeom prst="rect">
            <a:avLst/>
          </a:prstGeom>
        </xdr:spPr>
      </xdr:pic>
    </xdr:grp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hyperlink" Target="https://www.crisil.com/content/dam/crisil/our-analysis/publications/default-study/crisil-ratings-annual-default-and-ratings-transition-study-fy-2025.pdf" TargetMode="Externa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35FB17-5201-4278-BBBA-2E3C2482D3DE}">
  <dimension ref="A1"/>
  <sheetViews>
    <sheetView showGridLines="0" topLeftCell="B2" zoomScale="99" workbookViewId="0"/>
  </sheetViews>
  <sheetFormatPr defaultRowHeight="15" x14ac:dyDescent="0.25"/>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A72857-0416-44CD-B4EF-35CF681A8294}">
  <dimension ref="A5:X58"/>
  <sheetViews>
    <sheetView showGridLines="0" zoomScale="87" zoomScaleNormal="137" workbookViewId="0">
      <selection activeCell="B9" sqref="B9"/>
    </sheetView>
  </sheetViews>
  <sheetFormatPr defaultColWidth="9.140625" defaultRowHeight="15" x14ac:dyDescent="0.25"/>
  <cols>
    <col min="1" max="1" width="11.85546875" style="63" bestFit="1" customWidth="1"/>
    <col min="2" max="2" width="67.85546875" style="63" bestFit="1" customWidth="1"/>
    <col min="3" max="3" width="18.42578125" style="63" bestFit="1" customWidth="1"/>
    <col min="4" max="4" width="18.140625" style="63" bestFit="1" customWidth="1"/>
    <col min="5" max="5" width="19.140625" style="63" bestFit="1" customWidth="1"/>
    <col min="6" max="6" width="24.140625" style="63" bestFit="1" customWidth="1"/>
    <col min="7" max="7" width="30.140625" style="63" bestFit="1" customWidth="1"/>
    <col min="8" max="8" width="24.42578125" style="63" bestFit="1" customWidth="1"/>
    <col min="9" max="9" width="25.7109375" style="63" bestFit="1" customWidth="1"/>
    <col min="10" max="11" width="20.5703125" style="63" bestFit="1" customWidth="1"/>
    <col min="12" max="12" width="15.140625" style="63" bestFit="1" customWidth="1"/>
    <col min="13" max="13" width="28.42578125" style="63" bestFit="1" customWidth="1"/>
    <col min="14" max="14" width="16" style="63" bestFit="1" customWidth="1"/>
    <col min="15" max="15" width="11.42578125" style="63" bestFit="1" customWidth="1"/>
    <col min="16" max="16" width="13.5703125" style="63" customWidth="1"/>
    <col min="17" max="17" width="9.140625" style="63"/>
    <col min="18" max="18" width="6.85546875" style="63" bestFit="1" customWidth="1"/>
    <col min="19" max="19" width="10" style="63" bestFit="1" customWidth="1"/>
    <col min="20" max="20" width="7.42578125" style="63" bestFit="1" customWidth="1"/>
    <col min="21" max="21" width="13.7109375" style="63" bestFit="1" customWidth="1"/>
    <col min="22" max="22" width="7.7109375" style="63" bestFit="1" customWidth="1"/>
    <col min="23" max="16384" width="9.140625" style="63"/>
  </cols>
  <sheetData>
    <row r="5" spans="1:22" ht="15.75" thickBot="1" x14ac:dyDescent="0.3"/>
    <row r="6" spans="1:22" ht="16.5" thickTop="1" thickBot="1" x14ac:dyDescent="0.3">
      <c r="B6" s="111" t="s">
        <v>114</v>
      </c>
      <c r="C6" s="112"/>
      <c r="D6" s="112"/>
      <c r="E6" s="112"/>
      <c r="F6" s="112"/>
      <c r="G6" s="112"/>
      <c r="H6" s="112"/>
      <c r="I6" s="112"/>
      <c r="J6" s="112"/>
      <c r="K6" s="112"/>
      <c r="L6" s="112"/>
      <c r="M6" s="112"/>
      <c r="N6" s="112"/>
      <c r="O6" s="112"/>
      <c r="R6" s="109" t="s">
        <v>35</v>
      </c>
      <c r="S6" s="110"/>
      <c r="U6" s="89" t="s">
        <v>113</v>
      </c>
      <c r="V6" s="11" t="str">
        <f>IF(COUNTA(B9:B58)=SUM(S9:S20),"Ok","Error")</f>
        <v>Ok</v>
      </c>
    </row>
    <row r="7" spans="1:22" ht="16.5" thickTop="1" thickBot="1" x14ac:dyDescent="0.3">
      <c r="B7" s="64"/>
      <c r="C7" s="64"/>
      <c r="D7" s="64"/>
      <c r="E7" s="65"/>
      <c r="F7" s="65"/>
      <c r="G7" s="65"/>
      <c r="H7" s="65"/>
      <c r="I7" s="65"/>
      <c r="J7" s="65"/>
      <c r="K7" s="64"/>
      <c r="L7" s="64"/>
      <c r="M7" s="64"/>
      <c r="N7" s="64"/>
      <c r="O7" s="64"/>
      <c r="R7" s="49"/>
      <c r="S7" s="49"/>
    </row>
    <row r="8" spans="1:22" ht="16.5" thickTop="1" thickBot="1" x14ac:dyDescent="0.3">
      <c r="A8" s="66" t="s">
        <v>89</v>
      </c>
      <c r="B8" s="66" t="s">
        <v>36</v>
      </c>
      <c r="C8" s="66" t="s">
        <v>39</v>
      </c>
      <c r="D8" s="66" t="s">
        <v>40</v>
      </c>
      <c r="E8" s="66" t="s">
        <v>41</v>
      </c>
      <c r="F8" s="66" t="s">
        <v>83</v>
      </c>
      <c r="G8" s="66" t="s">
        <v>84</v>
      </c>
      <c r="H8" s="66" t="s">
        <v>85</v>
      </c>
      <c r="I8" s="66" t="s">
        <v>86</v>
      </c>
      <c r="J8" s="66" t="s">
        <v>87</v>
      </c>
      <c r="K8" s="66" t="s">
        <v>138</v>
      </c>
      <c r="L8" s="66" t="s">
        <v>88</v>
      </c>
      <c r="M8" s="104" t="s">
        <v>139</v>
      </c>
      <c r="N8" s="104" t="s">
        <v>110</v>
      </c>
      <c r="O8" s="66" t="s">
        <v>92</v>
      </c>
      <c r="P8" s="67"/>
      <c r="Q8" s="10"/>
      <c r="R8" s="81" t="s">
        <v>37</v>
      </c>
      <c r="S8" s="8" t="s">
        <v>38</v>
      </c>
      <c r="T8" s="8" t="s">
        <v>112</v>
      </c>
      <c r="U8" s="8" t="s">
        <v>141</v>
      </c>
      <c r="V8" s="8" t="s">
        <v>140</v>
      </c>
    </row>
    <row r="9" spans="1:22" ht="15.75" thickTop="1" x14ac:dyDescent="0.25">
      <c r="A9" s="68">
        <v>1</v>
      </c>
      <c r="B9" s="79" t="s">
        <v>42</v>
      </c>
      <c r="C9" s="69" t="s">
        <v>43</v>
      </c>
      <c r="D9" s="68" t="s">
        <v>57</v>
      </c>
      <c r="E9" s="69" t="s">
        <v>58</v>
      </c>
      <c r="F9" s="80">
        <v>125.06</v>
      </c>
      <c r="G9" s="80">
        <v>125</v>
      </c>
      <c r="H9" s="80">
        <v>250</v>
      </c>
      <c r="I9" s="80">
        <v>2</v>
      </c>
      <c r="J9" s="78">
        <v>1</v>
      </c>
      <c r="K9" s="68" t="s">
        <v>59</v>
      </c>
      <c r="L9" s="80">
        <f>F9+(G9*J9)+I9</f>
        <v>252.06</v>
      </c>
      <c r="M9" s="68" t="s">
        <v>59</v>
      </c>
      <c r="N9" s="68" t="s">
        <v>93</v>
      </c>
      <c r="O9" s="68" t="str">
        <f>IF(N9="N","Stage 1","Stage 2")</f>
        <v>Stage 1</v>
      </c>
      <c r="P9" s="19"/>
      <c r="Q9" s="10"/>
      <c r="R9" s="11" t="s">
        <v>59</v>
      </c>
      <c r="S9" s="11">
        <f>COUNTIF($M$9:$M$50,R9)</f>
        <v>4</v>
      </c>
      <c r="T9" s="106">
        <f>SUMIFS($L$9:$L$22,$M$9:$M$22,$R9,$O$9:$O$22,$T$8)</f>
        <v>16859.79</v>
      </c>
      <c r="U9" s="11">
        <f>SUMIFS($L$9:$L$22,$M$9:$M$22,$R9,$O$9:$O$22,$U$8)</f>
        <v>0</v>
      </c>
      <c r="V9" s="11">
        <f>SUMIFS($L$9:$L$22,$M$9:$M$22,$R9,$O$9:$O$22,$V$8)</f>
        <v>0</v>
      </c>
    </row>
    <row r="10" spans="1:22" x14ac:dyDescent="0.25">
      <c r="A10" s="68">
        <v>2</v>
      </c>
      <c r="B10" s="79" t="s">
        <v>44</v>
      </c>
      <c r="C10" s="69" t="s">
        <v>45</v>
      </c>
      <c r="D10" s="68" t="s">
        <v>57</v>
      </c>
      <c r="E10" s="69" t="s">
        <v>60</v>
      </c>
      <c r="F10" s="80">
        <v>3100</v>
      </c>
      <c r="G10" s="80">
        <v>1900</v>
      </c>
      <c r="H10" s="80">
        <v>0</v>
      </c>
      <c r="I10" s="80">
        <v>0</v>
      </c>
      <c r="J10" s="78">
        <v>0.5</v>
      </c>
      <c r="K10" s="68" t="s">
        <v>61</v>
      </c>
      <c r="L10" s="80">
        <f t="shared" ref="L10:L22" si="0">F10+(G10*J10)+I10</f>
        <v>4050</v>
      </c>
      <c r="M10" s="68" t="s">
        <v>59</v>
      </c>
      <c r="N10" s="68" t="s">
        <v>93</v>
      </c>
      <c r="O10" s="68" t="str">
        <f t="shared" ref="O10:O22" si="1">IF(N10="N","Stage 1","Stage 2")</f>
        <v>Stage 1</v>
      </c>
      <c r="P10" s="19"/>
      <c r="Q10" s="10"/>
      <c r="R10" s="11" t="s">
        <v>65</v>
      </c>
      <c r="S10" s="11">
        <f t="shared" ref="S10:S20" si="2">COUNTIF($M$9:$M$50,R10)</f>
        <v>1</v>
      </c>
      <c r="T10" s="106">
        <f t="shared" ref="T10:T20" si="3">SUMIFS($L$9:$L$22,$M$9:$M$22,$R10,$O$9:$O$22,$T$8)</f>
        <v>1103.8500000000001</v>
      </c>
      <c r="U10" s="11">
        <f t="shared" ref="U10:U20" si="4">SUMIFS($L$9:$L$22,$M$9:$M$22,$R10,$O$9:$O$22,$U$8)</f>
        <v>0</v>
      </c>
      <c r="V10" s="11">
        <f t="shared" ref="V10:V20" si="5">SUMIFS($L$9:$L$22,$M$9:$M$22,$R10,$O$9:$O$22,$V$8)</f>
        <v>0</v>
      </c>
    </row>
    <row r="11" spans="1:22" x14ac:dyDescent="0.25">
      <c r="A11" s="68">
        <v>3</v>
      </c>
      <c r="B11" s="79" t="s">
        <v>46</v>
      </c>
      <c r="C11" s="69" t="s">
        <v>45</v>
      </c>
      <c r="D11" s="68" t="s">
        <v>57</v>
      </c>
      <c r="E11" s="69" t="s">
        <v>58</v>
      </c>
      <c r="F11" s="80">
        <v>0</v>
      </c>
      <c r="G11" s="80">
        <v>5000</v>
      </c>
      <c r="H11" s="80">
        <v>0</v>
      </c>
      <c r="I11" s="80">
        <v>0</v>
      </c>
      <c r="J11" s="78">
        <v>0.5</v>
      </c>
      <c r="K11" s="68" t="s">
        <v>59</v>
      </c>
      <c r="L11" s="80">
        <f t="shared" si="0"/>
        <v>2500</v>
      </c>
      <c r="M11" s="68" t="s">
        <v>59</v>
      </c>
      <c r="N11" s="68" t="s">
        <v>93</v>
      </c>
      <c r="O11" s="68" t="str">
        <f t="shared" si="1"/>
        <v>Stage 1</v>
      </c>
      <c r="P11" s="19"/>
      <c r="Q11" s="10"/>
      <c r="R11" s="11" t="s">
        <v>77</v>
      </c>
      <c r="S11" s="11">
        <f t="shared" si="2"/>
        <v>1</v>
      </c>
      <c r="T11" s="106">
        <f t="shared" si="3"/>
        <v>12103.75</v>
      </c>
      <c r="U11" s="11">
        <f t="shared" si="4"/>
        <v>0</v>
      </c>
      <c r="V11" s="11">
        <f t="shared" si="5"/>
        <v>0</v>
      </c>
    </row>
    <row r="12" spans="1:22" x14ac:dyDescent="0.25">
      <c r="A12" s="68">
        <v>4</v>
      </c>
      <c r="B12" s="79" t="s">
        <v>47</v>
      </c>
      <c r="C12" s="69" t="s">
        <v>45</v>
      </c>
      <c r="D12" s="68" t="s">
        <v>62</v>
      </c>
      <c r="E12" s="69" t="s">
        <v>60</v>
      </c>
      <c r="F12" s="80">
        <v>2472.1999999999998</v>
      </c>
      <c r="G12" s="80">
        <v>0</v>
      </c>
      <c r="H12" s="80">
        <v>2472</v>
      </c>
      <c r="I12" s="80">
        <v>18.21</v>
      </c>
      <c r="J12" s="78">
        <v>0</v>
      </c>
      <c r="K12" s="68" t="s">
        <v>63</v>
      </c>
      <c r="L12" s="80">
        <f t="shared" si="0"/>
        <v>2490.41</v>
      </c>
      <c r="M12" s="68" t="s">
        <v>74</v>
      </c>
      <c r="N12" s="68" t="s">
        <v>93</v>
      </c>
      <c r="O12" s="68" t="str">
        <f t="shared" si="1"/>
        <v>Stage 1</v>
      </c>
      <c r="P12" s="19"/>
      <c r="Q12" s="10"/>
      <c r="R12" s="11" t="s">
        <v>90</v>
      </c>
      <c r="S12" s="11">
        <f t="shared" si="2"/>
        <v>0</v>
      </c>
      <c r="T12" s="106">
        <f t="shared" si="3"/>
        <v>0</v>
      </c>
      <c r="U12" s="11">
        <f t="shared" si="4"/>
        <v>0</v>
      </c>
      <c r="V12" s="11">
        <f t="shared" si="5"/>
        <v>0</v>
      </c>
    </row>
    <row r="13" spans="1:22" x14ac:dyDescent="0.25">
      <c r="A13" s="68">
        <v>5</v>
      </c>
      <c r="B13" s="79" t="s">
        <v>48</v>
      </c>
      <c r="C13" s="69" t="s">
        <v>45</v>
      </c>
      <c r="D13" s="68" t="s">
        <v>62</v>
      </c>
      <c r="E13" s="69" t="s">
        <v>73</v>
      </c>
      <c r="F13" s="80">
        <v>0</v>
      </c>
      <c r="G13" s="80">
        <v>200</v>
      </c>
      <c r="H13" s="80">
        <v>0</v>
      </c>
      <c r="I13" s="80">
        <v>0</v>
      </c>
      <c r="J13" s="78">
        <v>1</v>
      </c>
      <c r="K13" s="68" t="s">
        <v>73</v>
      </c>
      <c r="L13" s="80">
        <f t="shared" si="0"/>
        <v>200</v>
      </c>
      <c r="M13" s="68" t="s">
        <v>73</v>
      </c>
      <c r="N13" s="68" t="s">
        <v>93</v>
      </c>
      <c r="O13" s="68" t="str">
        <f t="shared" si="1"/>
        <v>Stage 1</v>
      </c>
      <c r="P13" s="19"/>
      <c r="Q13" s="10"/>
      <c r="R13" s="11" t="s">
        <v>76</v>
      </c>
      <c r="S13" s="11">
        <f t="shared" si="2"/>
        <v>1</v>
      </c>
      <c r="T13" s="106">
        <f t="shared" si="3"/>
        <v>2964.5</v>
      </c>
      <c r="U13" s="11">
        <f t="shared" si="4"/>
        <v>0</v>
      </c>
      <c r="V13" s="11">
        <f t="shared" si="5"/>
        <v>0</v>
      </c>
    </row>
    <row r="14" spans="1:22" x14ac:dyDescent="0.25">
      <c r="A14" s="68">
        <v>6</v>
      </c>
      <c r="B14" s="79" t="s">
        <v>49</v>
      </c>
      <c r="C14" s="69" t="s">
        <v>45</v>
      </c>
      <c r="D14" s="68" t="s">
        <v>57</v>
      </c>
      <c r="E14" s="69" t="s">
        <v>64</v>
      </c>
      <c r="F14" s="80">
        <v>1096.96</v>
      </c>
      <c r="G14" s="80">
        <v>0</v>
      </c>
      <c r="H14" s="80">
        <v>1096.96</v>
      </c>
      <c r="I14" s="80">
        <v>6.89</v>
      </c>
      <c r="J14" s="78">
        <v>0</v>
      </c>
      <c r="K14" s="68" t="s">
        <v>65</v>
      </c>
      <c r="L14" s="80">
        <f t="shared" si="0"/>
        <v>1103.8500000000001</v>
      </c>
      <c r="M14" s="68" t="s">
        <v>65</v>
      </c>
      <c r="N14" s="68" t="s">
        <v>93</v>
      </c>
      <c r="O14" s="68" t="str">
        <f t="shared" si="1"/>
        <v>Stage 1</v>
      </c>
      <c r="P14" s="19"/>
      <c r="Q14" s="10"/>
      <c r="R14" s="11" t="s">
        <v>75</v>
      </c>
      <c r="S14" s="11">
        <f t="shared" si="2"/>
        <v>1</v>
      </c>
      <c r="T14" s="106">
        <f t="shared" si="3"/>
        <v>6320.7574590000004</v>
      </c>
      <c r="U14" s="11">
        <f t="shared" si="4"/>
        <v>0</v>
      </c>
      <c r="V14" s="11">
        <f t="shared" si="5"/>
        <v>0</v>
      </c>
    </row>
    <row r="15" spans="1:22" x14ac:dyDescent="0.25">
      <c r="A15" s="68">
        <v>7</v>
      </c>
      <c r="B15" s="79" t="s">
        <v>50</v>
      </c>
      <c r="C15" s="69" t="s">
        <v>45</v>
      </c>
      <c r="D15" s="68" t="s">
        <v>57</v>
      </c>
      <c r="E15" s="69" t="s">
        <v>60</v>
      </c>
      <c r="F15" s="80">
        <v>1.51</v>
      </c>
      <c r="G15" s="80">
        <v>12638.49</v>
      </c>
      <c r="H15" s="80">
        <v>12640</v>
      </c>
      <c r="I15" s="80">
        <v>2.4589999999999998E-3</v>
      </c>
      <c r="J15" s="78">
        <v>0.5</v>
      </c>
      <c r="K15" s="68" t="s">
        <v>66</v>
      </c>
      <c r="L15" s="80">
        <f t="shared" si="0"/>
        <v>6320.7574590000004</v>
      </c>
      <c r="M15" s="68" t="s">
        <v>75</v>
      </c>
      <c r="N15" s="68" t="s">
        <v>93</v>
      </c>
      <c r="O15" s="68" t="str">
        <f t="shared" si="1"/>
        <v>Stage 1</v>
      </c>
      <c r="P15" s="19"/>
      <c r="Q15" s="10"/>
      <c r="R15" s="11" t="s">
        <v>69</v>
      </c>
      <c r="S15" s="11">
        <f t="shared" si="2"/>
        <v>3</v>
      </c>
      <c r="T15" s="106">
        <f t="shared" si="3"/>
        <v>12522.26</v>
      </c>
      <c r="U15" s="11">
        <f t="shared" si="4"/>
        <v>0</v>
      </c>
      <c r="V15" s="11">
        <f t="shared" si="5"/>
        <v>0</v>
      </c>
    </row>
    <row r="16" spans="1:22" x14ac:dyDescent="0.25">
      <c r="A16" s="68">
        <v>8</v>
      </c>
      <c r="B16" s="79" t="s">
        <v>51</v>
      </c>
      <c r="C16" s="69" t="s">
        <v>45</v>
      </c>
      <c r="D16" s="68" t="s">
        <v>67</v>
      </c>
      <c r="E16" s="69" t="s">
        <v>64</v>
      </c>
      <c r="F16" s="80">
        <v>1259.92</v>
      </c>
      <c r="G16" s="80">
        <v>2740.08</v>
      </c>
      <c r="H16" s="80">
        <v>4000</v>
      </c>
      <c r="I16" s="80">
        <v>9.7899999999999991</v>
      </c>
      <c r="J16" s="78">
        <v>0.5</v>
      </c>
      <c r="K16" s="68" t="s">
        <v>68</v>
      </c>
      <c r="L16" s="80">
        <f t="shared" si="0"/>
        <v>2639.75</v>
      </c>
      <c r="M16" s="68" t="s">
        <v>68</v>
      </c>
      <c r="N16" s="68" t="s">
        <v>93</v>
      </c>
      <c r="O16" s="68" t="str">
        <f t="shared" si="1"/>
        <v>Stage 1</v>
      </c>
      <c r="P16" s="19"/>
      <c r="Q16" s="10"/>
      <c r="R16" s="11" t="s">
        <v>68</v>
      </c>
      <c r="S16" s="11">
        <f t="shared" si="2"/>
        <v>1</v>
      </c>
      <c r="T16" s="106">
        <f t="shared" si="3"/>
        <v>2639.75</v>
      </c>
      <c r="U16" s="11">
        <f t="shared" si="4"/>
        <v>0</v>
      </c>
      <c r="V16" s="11">
        <f t="shared" si="5"/>
        <v>0</v>
      </c>
    </row>
    <row r="17" spans="1:24" x14ac:dyDescent="0.25">
      <c r="A17" s="68">
        <v>9</v>
      </c>
      <c r="B17" s="79" t="s">
        <v>52</v>
      </c>
      <c r="C17" s="69" t="s">
        <v>45</v>
      </c>
      <c r="D17" s="68" t="s">
        <v>57</v>
      </c>
      <c r="E17" s="69" t="s">
        <v>64</v>
      </c>
      <c r="F17" s="80">
        <v>0</v>
      </c>
      <c r="G17" s="80">
        <v>3389</v>
      </c>
      <c r="H17" s="80">
        <v>3389</v>
      </c>
      <c r="I17" s="80">
        <v>0</v>
      </c>
      <c r="J17" s="78">
        <f>+J16</f>
        <v>0.5</v>
      </c>
      <c r="K17" s="68" t="s">
        <v>69</v>
      </c>
      <c r="L17" s="80">
        <f t="shared" si="0"/>
        <v>1694.5</v>
      </c>
      <c r="M17" s="68" t="s">
        <v>69</v>
      </c>
      <c r="N17" s="68" t="s">
        <v>93</v>
      </c>
      <c r="O17" s="68" t="str">
        <f t="shared" si="1"/>
        <v>Stage 1</v>
      </c>
      <c r="P17" s="19"/>
      <c r="Q17" s="10"/>
      <c r="R17" s="11" t="s">
        <v>94</v>
      </c>
      <c r="S17" s="11">
        <f t="shared" si="2"/>
        <v>0</v>
      </c>
      <c r="T17" s="106">
        <f t="shared" si="3"/>
        <v>0</v>
      </c>
      <c r="U17" s="11">
        <f t="shared" si="4"/>
        <v>0</v>
      </c>
      <c r="V17" s="11">
        <f t="shared" si="5"/>
        <v>0</v>
      </c>
    </row>
    <row r="18" spans="1:24" x14ac:dyDescent="0.25">
      <c r="A18" s="68">
        <v>10</v>
      </c>
      <c r="B18" s="79" t="s">
        <v>53</v>
      </c>
      <c r="C18" s="69" t="s">
        <v>45</v>
      </c>
      <c r="D18" s="68" t="s">
        <v>57</v>
      </c>
      <c r="E18" s="69" t="s">
        <v>60</v>
      </c>
      <c r="F18" s="80">
        <v>0</v>
      </c>
      <c r="G18" s="80">
        <v>5929</v>
      </c>
      <c r="H18" s="80">
        <v>5929</v>
      </c>
      <c r="I18" s="80">
        <v>0</v>
      </c>
      <c r="J18" s="78">
        <v>0.5</v>
      </c>
      <c r="K18" s="68" t="s">
        <v>70</v>
      </c>
      <c r="L18" s="80">
        <f t="shared" si="0"/>
        <v>2964.5</v>
      </c>
      <c r="M18" s="68" t="s">
        <v>76</v>
      </c>
      <c r="N18" s="68" t="s">
        <v>93</v>
      </c>
      <c r="O18" s="68" t="str">
        <f t="shared" si="1"/>
        <v>Stage 1</v>
      </c>
      <c r="P18"/>
      <c r="R18" s="11" t="s">
        <v>95</v>
      </c>
      <c r="S18" s="11">
        <f t="shared" si="2"/>
        <v>0</v>
      </c>
      <c r="T18" s="106">
        <f t="shared" si="3"/>
        <v>0</v>
      </c>
      <c r="U18" s="11">
        <f t="shared" si="4"/>
        <v>0</v>
      </c>
      <c r="V18" s="11">
        <f t="shared" si="5"/>
        <v>0</v>
      </c>
    </row>
    <row r="19" spans="1:24" x14ac:dyDescent="0.25">
      <c r="A19" s="68">
        <v>11</v>
      </c>
      <c r="B19" s="79" t="s">
        <v>54</v>
      </c>
      <c r="C19" s="69" t="s">
        <v>45</v>
      </c>
      <c r="D19" s="68" t="s">
        <v>57</v>
      </c>
      <c r="E19" s="69" t="s">
        <v>71</v>
      </c>
      <c r="F19" s="80">
        <v>1017.96</v>
      </c>
      <c r="G19" s="80">
        <v>9542.0400000000009</v>
      </c>
      <c r="H19" s="80">
        <f>F19+G19</f>
        <v>10560</v>
      </c>
      <c r="I19" s="80">
        <v>6.87</v>
      </c>
      <c r="J19" s="78">
        <v>0.5</v>
      </c>
      <c r="K19" s="68" t="s">
        <v>69</v>
      </c>
      <c r="L19" s="80">
        <f t="shared" si="0"/>
        <v>5795.85</v>
      </c>
      <c r="M19" s="68" t="s">
        <v>69</v>
      </c>
      <c r="N19" s="68" t="s">
        <v>93</v>
      </c>
      <c r="O19" s="68" t="str">
        <f t="shared" si="1"/>
        <v>Stage 1</v>
      </c>
      <c r="P19"/>
      <c r="Q19" s="10"/>
      <c r="R19" s="11" t="s">
        <v>74</v>
      </c>
      <c r="S19" s="11">
        <f t="shared" si="2"/>
        <v>1</v>
      </c>
      <c r="T19" s="106">
        <f t="shared" si="3"/>
        <v>2490.41</v>
      </c>
      <c r="U19" s="11">
        <f t="shared" si="4"/>
        <v>0</v>
      </c>
      <c r="V19" s="11">
        <f t="shared" si="5"/>
        <v>0</v>
      </c>
    </row>
    <row r="20" spans="1:24" x14ac:dyDescent="0.25">
      <c r="A20" s="68">
        <v>12</v>
      </c>
      <c r="B20" s="79" t="s">
        <v>55</v>
      </c>
      <c r="C20" s="69" t="s">
        <v>45</v>
      </c>
      <c r="D20" s="68" t="s">
        <v>62</v>
      </c>
      <c r="E20" s="69" t="s">
        <v>58</v>
      </c>
      <c r="F20" s="80">
        <v>9821</v>
      </c>
      <c r="G20" s="80">
        <v>179</v>
      </c>
      <c r="H20" s="80">
        <f t="shared" ref="H20:H22" si="6">F20+G20</f>
        <v>10000</v>
      </c>
      <c r="I20" s="80">
        <v>200.93</v>
      </c>
      <c r="J20" s="78">
        <v>0.2</v>
      </c>
      <c r="K20" s="68" t="s">
        <v>59</v>
      </c>
      <c r="L20" s="80">
        <f t="shared" si="0"/>
        <v>10057.73</v>
      </c>
      <c r="M20" s="68" t="s">
        <v>59</v>
      </c>
      <c r="N20" s="68" t="s">
        <v>93</v>
      </c>
      <c r="O20" s="68" t="str">
        <f t="shared" si="1"/>
        <v>Stage 1</v>
      </c>
      <c r="P20"/>
      <c r="Q20" s="10"/>
      <c r="R20" s="11" t="s">
        <v>73</v>
      </c>
      <c r="S20" s="11">
        <f t="shared" si="2"/>
        <v>1</v>
      </c>
      <c r="T20" s="106">
        <f t="shared" si="3"/>
        <v>200</v>
      </c>
      <c r="U20" s="11">
        <f t="shared" si="4"/>
        <v>0</v>
      </c>
      <c r="V20" s="11">
        <f t="shared" si="5"/>
        <v>0</v>
      </c>
    </row>
    <row r="21" spans="1:24" x14ac:dyDescent="0.25">
      <c r="A21" s="68">
        <v>13</v>
      </c>
      <c r="B21" s="79" t="s">
        <v>54</v>
      </c>
      <c r="C21" s="69" t="s">
        <v>45</v>
      </c>
      <c r="D21" s="68" t="s">
        <v>57</v>
      </c>
      <c r="E21" s="69" t="s">
        <v>71</v>
      </c>
      <c r="F21" s="80">
        <v>5000</v>
      </c>
      <c r="G21" s="80">
        <v>0</v>
      </c>
      <c r="H21" s="80">
        <f t="shared" si="6"/>
        <v>5000</v>
      </c>
      <c r="I21" s="80">
        <v>31.91</v>
      </c>
      <c r="J21" s="78">
        <v>0.2</v>
      </c>
      <c r="K21" s="68" t="s">
        <v>69</v>
      </c>
      <c r="L21" s="80">
        <f t="shared" si="0"/>
        <v>5031.91</v>
      </c>
      <c r="M21" s="68" t="s">
        <v>69</v>
      </c>
      <c r="N21" s="68" t="s">
        <v>93</v>
      </c>
      <c r="O21" s="68" t="str">
        <f t="shared" si="1"/>
        <v>Stage 1</v>
      </c>
      <c r="P21"/>
      <c r="Q21" s="10"/>
      <c r="U21"/>
    </row>
    <row r="22" spans="1:24" x14ac:dyDescent="0.25">
      <c r="A22" s="68">
        <v>14</v>
      </c>
      <c r="B22" s="79" t="s">
        <v>56</v>
      </c>
      <c r="C22" s="69" t="s">
        <v>45</v>
      </c>
      <c r="D22" s="68" t="s">
        <v>67</v>
      </c>
      <c r="E22" s="69" t="s">
        <v>60</v>
      </c>
      <c r="F22" s="80">
        <v>11904.32</v>
      </c>
      <c r="G22" s="80">
        <v>938</v>
      </c>
      <c r="H22" s="80">
        <f t="shared" si="6"/>
        <v>12842.32</v>
      </c>
      <c r="I22" s="80">
        <v>11.83</v>
      </c>
      <c r="J22" s="78">
        <v>0.2</v>
      </c>
      <c r="K22" s="68" t="s">
        <v>72</v>
      </c>
      <c r="L22" s="80">
        <f t="shared" si="0"/>
        <v>12103.75</v>
      </c>
      <c r="M22" s="68" t="s">
        <v>77</v>
      </c>
      <c r="N22" s="68" t="s">
        <v>93</v>
      </c>
      <c r="O22" s="68" t="str">
        <f t="shared" si="1"/>
        <v>Stage 1</v>
      </c>
      <c r="P22"/>
      <c r="R22" s="113" t="s">
        <v>111</v>
      </c>
      <c r="S22" s="113"/>
      <c r="T22" s="113"/>
      <c r="U22" s="113"/>
      <c r="V22" s="113"/>
      <c r="W22" s="113"/>
      <c r="X22" s="113"/>
    </row>
    <row r="23" spans="1:24" x14ac:dyDescent="0.25">
      <c r="A23" s="68">
        <f>A22+1</f>
        <v>15</v>
      </c>
      <c r="B23" s="79"/>
      <c r="C23" s="69"/>
      <c r="D23" s="68"/>
      <c r="E23" s="69"/>
      <c r="F23" s="69"/>
      <c r="G23" s="69"/>
      <c r="H23" s="69"/>
      <c r="I23" s="69"/>
      <c r="J23" s="69"/>
      <c r="K23" s="68"/>
      <c r="L23" s="80"/>
      <c r="M23" s="68"/>
      <c r="N23" s="68"/>
      <c r="O23" s="68"/>
      <c r="R23" s="113"/>
      <c r="S23" s="113"/>
      <c r="T23" s="113"/>
      <c r="U23" s="113"/>
      <c r="V23" s="113"/>
      <c r="W23" s="113"/>
      <c r="X23" s="113"/>
    </row>
    <row r="24" spans="1:24" x14ac:dyDescent="0.25">
      <c r="A24" s="68">
        <f t="shared" ref="A24:A58" si="7">A23+1</f>
        <v>16</v>
      </c>
      <c r="B24" s="79"/>
      <c r="C24" s="69"/>
      <c r="D24" s="68"/>
      <c r="E24" s="69"/>
      <c r="F24" s="69"/>
      <c r="G24" s="69"/>
      <c r="H24" s="69"/>
      <c r="I24" s="69"/>
      <c r="J24" s="69"/>
      <c r="K24" s="68"/>
      <c r="L24" s="105"/>
      <c r="M24" s="68"/>
      <c r="N24" s="68"/>
      <c r="O24" s="68"/>
    </row>
    <row r="25" spans="1:24" x14ac:dyDescent="0.25">
      <c r="A25" s="68">
        <f t="shared" si="7"/>
        <v>17</v>
      </c>
      <c r="B25" s="79"/>
      <c r="C25" s="69"/>
      <c r="D25" s="68"/>
      <c r="E25" s="69"/>
      <c r="F25" s="69"/>
      <c r="G25" s="69"/>
      <c r="H25" s="69"/>
      <c r="I25" s="69"/>
      <c r="J25" s="69"/>
      <c r="K25" s="68"/>
      <c r="L25" s="105"/>
      <c r="M25" s="68"/>
      <c r="N25" s="68"/>
      <c r="O25" s="68"/>
    </row>
    <row r="26" spans="1:24" x14ac:dyDescent="0.25">
      <c r="A26" s="68">
        <f t="shared" si="7"/>
        <v>18</v>
      </c>
      <c r="B26" s="79"/>
      <c r="C26" s="69"/>
      <c r="D26" s="68"/>
      <c r="E26" s="69"/>
      <c r="F26" s="69"/>
      <c r="G26" s="69"/>
      <c r="H26" s="69"/>
      <c r="I26" s="69"/>
      <c r="J26" s="69"/>
      <c r="K26" s="68"/>
      <c r="L26" s="105"/>
      <c r="M26" s="68"/>
      <c r="N26" s="68"/>
      <c r="O26" s="68"/>
    </row>
    <row r="27" spans="1:24" x14ac:dyDescent="0.25">
      <c r="A27" s="68">
        <f t="shared" si="7"/>
        <v>19</v>
      </c>
      <c r="B27" s="79"/>
      <c r="C27" s="69"/>
      <c r="D27" s="68"/>
      <c r="E27" s="69"/>
      <c r="F27" s="69"/>
      <c r="G27" s="69"/>
      <c r="H27" s="69"/>
      <c r="I27" s="69"/>
      <c r="J27" s="69"/>
      <c r="K27" s="68"/>
      <c r="L27" s="105"/>
      <c r="M27" s="68"/>
      <c r="N27" s="68"/>
      <c r="O27" s="68"/>
    </row>
    <row r="28" spans="1:24" x14ac:dyDescent="0.25">
      <c r="A28" s="68">
        <f t="shared" si="7"/>
        <v>20</v>
      </c>
      <c r="B28" s="79"/>
      <c r="C28" s="69"/>
      <c r="D28" s="68"/>
      <c r="E28" s="69"/>
      <c r="F28" s="69"/>
      <c r="G28" s="69"/>
      <c r="H28" s="69"/>
      <c r="I28" s="69"/>
      <c r="J28" s="69"/>
      <c r="K28" s="68"/>
      <c r="L28" s="105"/>
      <c r="M28" s="68"/>
      <c r="N28" s="68"/>
      <c r="O28" s="68"/>
    </row>
    <row r="29" spans="1:24" x14ac:dyDescent="0.25">
      <c r="A29" s="68">
        <f t="shared" si="7"/>
        <v>21</v>
      </c>
      <c r="B29" s="79"/>
      <c r="C29" s="69"/>
      <c r="D29" s="68"/>
      <c r="E29" s="69"/>
      <c r="F29" s="69"/>
      <c r="G29" s="69"/>
      <c r="H29" s="69"/>
      <c r="I29" s="69"/>
      <c r="J29" s="69"/>
      <c r="K29" s="68"/>
      <c r="L29" s="105"/>
      <c r="M29" s="68"/>
      <c r="N29" s="68"/>
      <c r="O29" s="68"/>
    </row>
    <row r="30" spans="1:24" x14ac:dyDescent="0.25">
      <c r="A30" s="68">
        <f t="shared" si="7"/>
        <v>22</v>
      </c>
      <c r="B30" s="79"/>
      <c r="C30" s="69"/>
      <c r="D30" s="68"/>
      <c r="E30" s="69"/>
      <c r="F30" s="69"/>
      <c r="G30" s="69"/>
      <c r="H30" s="69"/>
      <c r="I30" s="69"/>
      <c r="J30" s="69"/>
      <c r="K30" s="68"/>
      <c r="L30" s="105"/>
      <c r="M30" s="68"/>
      <c r="N30" s="68"/>
      <c r="O30" s="68"/>
    </row>
    <row r="31" spans="1:24" x14ac:dyDescent="0.25">
      <c r="A31" s="68">
        <f t="shared" si="7"/>
        <v>23</v>
      </c>
      <c r="B31" s="79"/>
      <c r="C31" s="69"/>
      <c r="D31" s="68"/>
      <c r="E31" s="69"/>
      <c r="F31" s="69"/>
      <c r="G31" s="69"/>
      <c r="H31" s="69"/>
      <c r="I31" s="69"/>
      <c r="J31" s="69"/>
      <c r="K31" s="68"/>
      <c r="L31" s="105"/>
      <c r="M31" s="68"/>
      <c r="N31" s="68"/>
      <c r="O31" s="68"/>
    </row>
    <row r="32" spans="1:24" x14ac:dyDescent="0.25">
      <c r="A32" s="68">
        <f t="shared" si="7"/>
        <v>24</v>
      </c>
      <c r="B32" s="79"/>
      <c r="C32" s="69"/>
      <c r="D32" s="68"/>
      <c r="E32" s="69"/>
      <c r="F32" s="69"/>
      <c r="G32" s="69"/>
      <c r="H32" s="69"/>
      <c r="I32" s="69"/>
      <c r="J32" s="69"/>
      <c r="K32" s="68"/>
      <c r="L32" s="105"/>
      <c r="M32" s="68"/>
      <c r="N32" s="68"/>
      <c r="O32" s="68"/>
    </row>
    <row r="33" spans="1:15" x14ac:dyDescent="0.25">
      <c r="A33" s="68">
        <f t="shared" si="7"/>
        <v>25</v>
      </c>
      <c r="B33" s="79"/>
      <c r="C33" s="69"/>
      <c r="D33" s="68"/>
      <c r="E33" s="69"/>
      <c r="F33" s="69"/>
      <c r="G33" s="69"/>
      <c r="H33" s="69"/>
      <c r="I33" s="69"/>
      <c r="J33" s="69"/>
      <c r="K33" s="68"/>
      <c r="L33" s="105"/>
      <c r="M33" s="68"/>
      <c r="N33" s="68"/>
      <c r="O33" s="68"/>
    </row>
    <row r="34" spans="1:15" x14ac:dyDescent="0.25">
      <c r="A34" s="68">
        <f t="shared" si="7"/>
        <v>26</v>
      </c>
      <c r="B34" s="79"/>
      <c r="C34" s="69"/>
      <c r="D34" s="68"/>
      <c r="E34" s="69"/>
      <c r="F34" s="69"/>
      <c r="G34" s="69"/>
      <c r="H34" s="69"/>
      <c r="I34" s="69"/>
      <c r="J34" s="69"/>
      <c r="K34" s="68"/>
      <c r="L34" s="105"/>
      <c r="M34" s="68"/>
      <c r="N34" s="68"/>
      <c r="O34" s="68"/>
    </row>
    <row r="35" spans="1:15" x14ac:dyDescent="0.25">
      <c r="A35" s="68">
        <f t="shared" si="7"/>
        <v>27</v>
      </c>
      <c r="B35" s="79"/>
      <c r="C35" s="69"/>
      <c r="D35" s="68"/>
      <c r="E35" s="69"/>
      <c r="F35" s="69"/>
      <c r="G35" s="69"/>
      <c r="H35" s="69"/>
      <c r="I35" s="69"/>
      <c r="J35" s="69"/>
      <c r="K35" s="68"/>
      <c r="L35" s="105"/>
      <c r="M35" s="68"/>
      <c r="N35" s="68"/>
      <c r="O35" s="68"/>
    </row>
    <row r="36" spans="1:15" x14ac:dyDescent="0.25">
      <c r="A36" s="68">
        <f t="shared" si="7"/>
        <v>28</v>
      </c>
      <c r="B36" s="79"/>
      <c r="C36" s="69"/>
      <c r="D36" s="68"/>
      <c r="E36" s="69"/>
      <c r="F36" s="69"/>
      <c r="G36" s="69"/>
      <c r="H36" s="69"/>
      <c r="I36" s="69"/>
      <c r="J36" s="69"/>
      <c r="K36" s="68"/>
      <c r="L36" s="105"/>
      <c r="M36" s="68"/>
      <c r="N36" s="68"/>
      <c r="O36" s="68"/>
    </row>
    <row r="37" spans="1:15" x14ac:dyDescent="0.25">
      <c r="A37" s="68">
        <f t="shared" si="7"/>
        <v>29</v>
      </c>
      <c r="B37" s="79"/>
      <c r="C37" s="69"/>
      <c r="D37" s="68"/>
      <c r="E37" s="69"/>
      <c r="F37" s="69"/>
      <c r="G37" s="69"/>
      <c r="H37" s="69"/>
      <c r="I37" s="69"/>
      <c r="J37" s="69"/>
      <c r="K37" s="68"/>
      <c r="L37" s="105"/>
      <c r="M37" s="68"/>
      <c r="N37" s="68"/>
      <c r="O37" s="68"/>
    </row>
    <row r="38" spans="1:15" x14ac:dyDescent="0.25">
      <c r="A38" s="68">
        <f t="shared" si="7"/>
        <v>30</v>
      </c>
      <c r="B38" s="79"/>
      <c r="C38" s="69"/>
      <c r="D38" s="68"/>
      <c r="E38" s="69"/>
      <c r="F38" s="69"/>
      <c r="G38" s="69"/>
      <c r="H38" s="69"/>
      <c r="I38" s="69"/>
      <c r="J38" s="69"/>
      <c r="K38" s="68"/>
      <c r="L38" s="105"/>
      <c r="M38" s="68"/>
      <c r="N38" s="68"/>
      <c r="O38" s="68"/>
    </row>
    <row r="39" spans="1:15" x14ac:dyDescent="0.25">
      <c r="A39" s="68">
        <f t="shared" si="7"/>
        <v>31</v>
      </c>
      <c r="B39" s="79"/>
      <c r="C39" s="69"/>
      <c r="D39" s="68"/>
      <c r="E39" s="69"/>
      <c r="F39" s="69"/>
      <c r="G39" s="69"/>
      <c r="H39" s="69"/>
      <c r="I39" s="69"/>
      <c r="J39" s="69"/>
      <c r="K39" s="68"/>
      <c r="L39" s="105"/>
      <c r="M39" s="68"/>
      <c r="N39" s="68"/>
      <c r="O39" s="68"/>
    </row>
    <row r="40" spans="1:15" x14ac:dyDescent="0.25">
      <c r="A40" s="68">
        <f t="shared" si="7"/>
        <v>32</v>
      </c>
      <c r="B40" s="79"/>
      <c r="C40" s="69"/>
      <c r="D40" s="68"/>
      <c r="E40" s="69"/>
      <c r="F40" s="69"/>
      <c r="G40" s="69"/>
      <c r="H40" s="69"/>
      <c r="I40" s="69"/>
      <c r="J40" s="69"/>
      <c r="K40" s="68"/>
      <c r="L40" s="68"/>
      <c r="M40" s="68"/>
      <c r="N40" s="68"/>
      <c r="O40" s="68"/>
    </row>
    <row r="41" spans="1:15" x14ac:dyDescent="0.25">
      <c r="A41" s="68">
        <f t="shared" si="7"/>
        <v>33</v>
      </c>
      <c r="B41" s="79"/>
      <c r="C41" s="69"/>
      <c r="D41" s="68"/>
      <c r="E41" s="69"/>
      <c r="F41" s="69"/>
      <c r="G41" s="69"/>
      <c r="H41" s="69"/>
      <c r="I41" s="69"/>
      <c r="J41" s="69"/>
      <c r="K41" s="68"/>
      <c r="L41" s="68"/>
      <c r="M41" s="68"/>
      <c r="N41" s="68"/>
      <c r="O41" s="68"/>
    </row>
    <row r="42" spans="1:15" x14ac:dyDescent="0.25">
      <c r="A42" s="68">
        <f t="shared" si="7"/>
        <v>34</v>
      </c>
      <c r="B42" s="79"/>
      <c r="C42" s="69"/>
      <c r="D42" s="68"/>
      <c r="E42" s="69"/>
      <c r="F42" s="69"/>
      <c r="G42" s="69"/>
      <c r="H42" s="69"/>
      <c r="I42" s="69"/>
      <c r="J42" s="69"/>
      <c r="K42" s="68"/>
      <c r="L42" s="68"/>
      <c r="M42" s="68"/>
      <c r="N42" s="68"/>
      <c r="O42" s="68"/>
    </row>
    <row r="43" spans="1:15" x14ac:dyDescent="0.25">
      <c r="A43" s="68">
        <f t="shared" si="7"/>
        <v>35</v>
      </c>
      <c r="B43" s="79"/>
      <c r="C43" s="69"/>
      <c r="D43" s="68"/>
      <c r="E43" s="69"/>
      <c r="F43" s="69"/>
      <c r="G43" s="69"/>
      <c r="H43" s="69"/>
      <c r="I43" s="69"/>
      <c r="J43" s="69"/>
      <c r="K43" s="68"/>
      <c r="L43" s="68"/>
      <c r="M43" s="68"/>
      <c r="N43" s="68"/>
      <c r="O43" s="68"/>
    </row>
    <row r="44" spans="1:15" x14ac:dyDescent="0.25">
      <c r="A44" s="68">
        <f t="shared" si="7"/>
        <v>36</v>
      </c>
      <c r="B44" s="79"/>
      <c r="C44" s="69"/>
      <c r="D44" s="68"/>
      <c r="E44" s="69"/>
      <c r="F44" s="69"/>
      <c r="G44" s="69"/>
      <c r="H44" s="69"/>
      <c r="I44" s="69"/>
      <c r="J44" s="69"/>
      <c r="K44" s="68"/>
      <c r="L44" s="68"/>
      <c r="M44" s="68"/>
      <c r="N44" s="68"/>
      <c r="O44" s="68"/>
    </row>
    <row r="45" spans="1:15" x14ac:dyDescent="0.25">
      <c r="A45" s="68">
        <f t="shared" si="7"/>
        <v>37</v>
      </c>
      <c r="B45" s="79"/>
      <c r="C45" s="69"/>
      <c r="D45" s="68"/>
      <c r="E45" s="69"/>
      <c r="F45" s="69"/>
      <c r="G45" s="69"/>
      <c r="H45" s="69"/>
      <c r="I45" s="69"/>
      <c r="J45" s="69"/>
      <c r="K45" s="68"/>
      <c r="L45" s="68"/>
      <c r="M45" s="68"/>
      <c r="N45" s="68"/>
      <c r="O45" s="68"/>
    </row>
    <row r="46" spans="1:15" x14ac:dyDescent="0.25">
      <c r="A46" s="68">
        <f t="shared" si="7"/>
        <v>38</v>
      </c>
      <c r="B46" s="79"/>
      <c r="C46" s="69"/>
      <c r="D46" s="68"/>
      <c r="E46" s="69"/>
      <c r="F46" s="69"/>
      <c r="G46" s="69"/>
      <c r="H46" s="69"/>
      <c r="I46" s="69"/>
      <c r="J46" s="69"/>
      <c r="K46" s="68"/>
      <c r="L46" s="68"/>
      <c r="M46" s="68"/>
      <c r="N46" s="68"/>
      <c r="O46" s="68"/>
    </row>
    <row r="47" spans="1:15" x14ac:dyDescent="0.25">
      <c r="A47" s="68">
        <f t="shared" si="7"/>
        <v>39</v>
      </c>
      <c r="B47" s="79"/>
      <c r="C47" s="69"/>
      <c r="D47" s="68"/>
      <c r="E47" s="69"/>
      <c r="F47" s="69"/>
      <c r="G47" s="69"/>
      <c r="H47" s="69"/>
      <c r="I47" s="69"/>
      <c r="J47" s="69"/>
      <c r="K47" s="68"/>
      <c r="L47" s="68"/>
      <c r="M47" s="68"/>
      <c r="N47" s="68"/>
      <c r="O47" s="68"/>
    </row>
    <row r="48" spans="1:15" x14ac:dyDescent="0.25">
      <c r="A48" s="68">
        <f t="shared" si="7"/>
        <v>40</v>
      </c>
      <c r="B48" s="79"/>
      <c r="C48" s="69"/>
      <c r="D48" s="68"/>
      <c r="E48" s="69"/>
      <c r="F48" s="69"/>
      <c r="G48" s="69"/>
      <c r="H48" s="69"/>
      <c r="I48" s="69"/>
      <c r="J48" s="69"/>
      <c r="K48" s="68"/>
      <c r="L48" s="68"/>
      <c r="M48" s="68"/>
      <c r="N48" s="68"/>
      <c r="O48" s="68"/>
    </row>
    <row r="49" spans="1:15" x14ac:dyDescent="0.25">
      <c r="A49" s="68">
        <f t="shared" si="7"/>
        <v>41</v>
      </c>
      <c r="B49" s="79"/>
      <c r="C49" s="69"/>
      <c r="D49" s="68"/>
      <c r="E49" s="69"/>
      <c r="F49" s="69"/>
      <c r="G49" s="69"/>
      <c r="H49" s="69"/>
      <c r="I49" s="69"/>
      <c r="J49" s="69"/>
      <c r="K49" s="68"/>
      <c r="L49" s="68"/>
      <c r="M49" s="68"/>
      <c r="N49" s="68"/>
      <c r="O49" s="68"/>
    </row>
    <row r="50" spans="1:15" x14ac:dyDescent="0.25">
      <c r="A50" s="68">
        <f t="shared" si="7"/>
        <v>42</v>
      </c>
      <c r="B50" s="79"/>
      <c r="C50" s="69"/>
      <c r="D50" s="68"/>
      <c r="E50" s="69"/>
      <c r="F50" s="69"/>
      <c r="G50" s="69"/>
      <c r="H50" s="69"/>
      <c r="I50" s="69"/>
      <c r="J50" s="69"/>
      <c r="K50" s="68"/>
      <c r="L50" s="68"/>
      <c r="M50" s="68"/>
      <c r="N50" s="68"/>
      <c r="O50" s="68"/>
    </row>
    <row r="51" spans="1:15" x14ac:dyDescent="0.25">
      <c r="A51" s="68">
        <f t="shared" si="7"/>
        <v>43</v>
      </c>
      <c r="B51" s="79"/>
      <c r="C51" s="69"/>
      <c r="D51" s="68"/>
      <c r="E51" s="69"/>
      <c r="F51" s="69"/>
      <c r="G51" s="69"/>
      <c r="H51" s="69"/>
      <c r="I51" s="69"/>
      <c r="J51" s="69"/>
      <c r="K51" s="68"/>
      <c r="L51" s="68"/>
      <c r="M51" s="68"/>
      <c r="N51" s="68"/>
      <c r="O51" s="68"/>
    </row>
    <row r="52" spans="1:15" x14ac:dyDescent="0.25">
      <c r="A52" s="68">
        <f t="shared" si="7"/>
        <v>44</v>
      </c>
      <c r="B52" s="79"/>
      <c r="C52" s="69"/>
      <c r="D52" s="68"/>
      <c r="E52" s="69"/>
      <c r="F52" s="69"/>
      <c r="G52" s="69"/>
      <c r="H52" s="69"/>
      <c r="I52" s="69"/>
      <c r="J52" s="69"/>
      <c r="K52" s="68"/>
      <c r="L52" s="68"/>
      <c r="M52" s="68"/>
      <c r="N52" s="68"/>
      <c r="O52" s="68"/>
    </row>
    <row r="53" spans="1:15" x14ac:dyDescent="0.25">
      <c r="A53" s="68">
        <f t="shared" si="7"/>
        <v>45</v>
      </c>
      <c r="B53" s="79"/>
      <c r="C53" s="69"/>
      <c r="D53" s="68"/>
      <c r="E53" s="69"/>
      <c r="F53" s="69"/>
      <c r="G53" s="69"/>
      <c r="H53" s="69"/>
      <c r="I53" s="69"/>
      <c r="J53" s="69"/>
      <c r="K53" s="68"/>
      <c r="L53" s="68"/>
      <c r="M53" s="68"/>
      <c r="N53" s="68"/>
      <c r="O53" s="68"/>
    </row>
    <row r="54" spans="1:15" x14ac:dyDescent="0.25">
      <c r="A54" s="68">
        <f t="shared" si="7"/>
        <v>46</v>
      </c>
      <c r="B54" s="79"/>
      <c r="C54" s="69"/>
      <c r="D54" s="68"/>
      <c r="E54" s="69"/>
      <c r="F54" s="69"/>
      <c r="G54" s="69"/>
      <c r="H54" s="69"/>
      <c r="I54" s="69"/>
      <c r="J54" s="69"/>
      <c r="K54" s="68"/>
      <c r="L54" s="68"/>
      <c r="M54" s="68"/>
      <c r="N54" s="68"/>
      <c r="O54" s="68"/>
    </row>
    <row r="55" spans="1:15" x14ac:dyDescent="0.25">
      <c r="A55" s="68">
        <f t="shared" si="7"/>
        <v>47</v>
      </c>
      <c r="B55" s="79"/>
      <c r="C55" s="69"/>
      <c r="D55" s="68"/>
      <c r="E55" s="69"/>
      <c r="F55" s="69"/>
      <c r="G55" s="69"/>
      <c r="H55" s="69"/>
      <c r="I55" s="69"/>
      <c r="J55" s="69"/>
      <c r="K55" s="68"/>
      <c r="L55" s="68"/>
      <c r="M55" s="68"/>
      <c r="N55" s="68"/>
      <c r="O55" s="68"/>
    </row>
    <row r="56" spans="1:15" x14ac:dyDescent="0.25">
      <c r="A56" s="68">
        <f t="shared" si="7"/>
        <v>48</v>
      </c>
      <c r="B56" s="79"/>
      <c r="C56" s="69"/>
      <c r="D56" s="68"/>
      <c r="E56" s="69"/>
      <c r="F56" s="69"/>
      <c r="G56" s="69"/>
      <c r="H56" s="69"/>
      <c r="I56" s="69"/>
      <c r="J56" s="69"/>
      <c r="K56" s="68"/>
      <c r="L56" s="68"/>
      <c r="M56" s="68"/>
      <c r="N56" s="68"/>
      <c r="O56" s="68"/>
    </row>
    <row r="57" spans="1:15" x14ac:dyDescent="0.25">
      <c r="A57" s="68">
        <f t="shared" si="7"/>
        <v>49</v>
      </c>
      <c r="B57" s="79"/>
      <c r="C57" s="69"/>
      <c r="D57" s="68"/>
      <c r="E57" s="69"/>
      <c r="F57" s="69"/>
      <c r="G57" s="69"/>
      <c r="H57" s="69"/>
      <c r="I57" s="69"/>
      <c r="J57" s="69"/>
      <c r="K57" s="68"/>
      <c r="L57" s="68"/>
      <c r="M57" s="68"/>
      <c r="N57" s="68"/>
      <c r="O57" s="68"/>
    </row>
    <row r="58" spans="1:15" x14ac:dyDescent="0.25">
      <c r="A58" s="68">
        <f t="shared" si="7"/>
        <v>50</v>
      </c>
      <c r="B58" s="79"/>
      <c r="C58" s="69"/>
      <c r="D58" s="68"/>
      <c r="E58" s="69"/>
      <c r="F58" s="69"/>
      <c r="G58" s="69"/>
      <c r="H58" s="69"/>
      <c r="I58" s="69"/>
      <c r="J58" s="69"/>
      <c r="K58" s="68"/>
      <c r="L58" s="68"/>
      <c r="M58" s="68"/>
      <c r="N58" s="68"/>
      <c r="O58" s="68"/>
    </row>
  </sheetData>
  <autoFilter ref="A8:O58" xr:uid="{FBA72857-0416-44CD-B4EF-35CF681A8294}"/>
  <mergeCells count="3">
    <mergeCell ref="R6:S6"/>
    <mergeCell ref="B6:O6"/>
    <mergeCell ref="R22:X23"/>
  </mergeCells>
  <conditionalFormatting sqref="V6">
    <cfRule type="containsText" dxfId="0" priority="1" operator="containsText" text="Error">
      <formula>NOT(ISERROR(SEARCH("Error",V6)))</formula>
    </cfRule>
  </conditionalFormatting>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C36B85-1852-488E-9A08-243B4F50C777}">
  <dimension ref="C6:G25"/>
  <sheetViews>
    <sheetView showGridLines="0" topLeftCell="A5" zoomScaleNormal="100" workbookViewId="0"/>
  </sheetViews>
  <sheetFormatPr defaultRowHeight="15" x14ac:dyDescent="0.25"/>
  <cols>
    <col min="3" max="3" width="10.7109375" bestFit="1" customWidth="1"/>
    <col min="4" max="4" width="21.7109375" customWidth="1"/>
    <col min="5" max="5" width="12.140625" bestFit="1" customWidth="1"/>
  </cols>
  <sheetData>
    <row r="6" spans="3:7" x14ac:dyDescent="0.25">
      <c r="C6" s="90" t="s">
        <v>117</v>
      </c>
      <c r="D6" s="13"/>
      <c r="G6" s="90" t="s">
        <v>115</v>
      </c>
    </row>
    <row r="7" spans="3:7" x14ac:dyDescent="0.25">
      <c r="C7" s="8" t="s">
        <v>34</v>
      </c>
      <c r="D7" s="8" t="s">
        <v>33</v>
      </c>
    </row>
    <row r="8" spans="3:7" x14ac:dyDescent="0.25">
      <c r="C8" s="11" t="str">
        <f>'Input Data '!R9</f>
        <v>AAA</v>
      </c>
      <c r="D8" s="14">
        <v>2.9999999999999997E-4</v>
      </c>
    </row>
    <row r="9" spans="3:7" x14ac:dyDescent="0.25">
      <c r="C9" s="11" t="str">
        <f>'Input Data '!R10</f>
        <v>AA+</v>
      </c>
      <c r="D9" s="14">
        <v>2.8999999999999998E-3</v>
      </c>
    </row>
    <row r="10" spans="3:7" x14ac:dyDescent="0.25">
      <c r="C10" s="11" t="str">
        <f>'Input Data '!R11</f>
        <v>AA</v>
      </c>
      <c r="D10" s="14">
        <v>2.8999999999999998E-3</v>
      </c>
    </row>
    <row r="11" spans="3:7" x14ac:dyDescent="0.25">
      <c r="C11" s="11" t="str">
        <f>'Input Data '!R12</f>
        <v>AA-</v>
      </c>
      <c r="D11" s="14">
        <v>2.8999999999999998E-3</v>
      </c>
    </row>
    <row r="12" spans="3:7" x14ac:dyDescent="0.25">
      <c r="C12" s="11" t="str">
        <f>'Input Data '!R13</f>
        <v>A+</v>
      </c>
      <c r="D12" s="14">
        <v>6.6E-3</v>
      </c>
    </row>
    <row r="13" spans="3:7" x14ac:dyDescent="0.25">
      <c r="C13" s="11" t="str">
        <f>'Input Data '!R14</f>
        <v>A</v>
      </c>
      <c r="D13" s="14">
        <v>6.6E-3</v>
      </c>
    </row>
    <row r="14" spans="3:7" x14ac:dyDescent="0.25">
      <c r="C14" s="11" t="str">
        <f>'Input Data '!R15</f>
        <v>A-</v>
      </c>
      <c r="D14" s="14">
        <v>6.6E-3</v>
      </c>
    </row>
    <row r="15" spans="3:7" x14ac:dyDescent="0.25">
      <c r="C15" s="11" t="str">
        <f>'Input Data '!R16</f>
        <v>BBB+</v>
      </c>
      <c r="D15" s="14">
        <v>2.2100000000000002E-2</v>
      </c>
    </row>
    <row r="16" spans="3:7" x14ac:dyDescent="0.25">
      <c r="C16" s="11" t="str">
        <f>'Input Data '!R17</f>
        <v>BBB</v>
      </c>
      <c r="D16" s="14">
        <v>2.2100000000000002E-2</v>
      </c>
    </row>
    <row r="17" spans="3:7" x14ac:dyDescent="0.25">
      <c r="C17" s="11" t="str">
        <f>'Input Data '!R18</f>
        <v>BBB-</v>
      </c>
      <c r="D17" s="14">
        <v>2.2100000000000002E-2</v>
      </c>
    </row>
    <row r="18" spans="3:7" x14ac:dyDescent="0.25">
      <c r="C18" s="11" t="str">
        <f>'Input Data '!R19</f>
        <v>BB+</v>
      </c>
      <c r="D18" s="14">
        <v>9.9199999999999997E-2</v>
      </c>
    </row>
    <row r="19" spans="3:7" x14ac:dyDescent="0.25">
      <c r="C19" s="11" t="str">
        <f>'Input Data '!R20</f>
        <v>Unrated</v>
      </c>
      <c r="D19" s="14">
        <v>9.9199999999999997E-2</v>
      </c>
    </row>
    <row r="20" spans="3:7" x14ac:dyDescent="0.25">
      <c r="C20" s="19"/>
      <c r="D20" s="57"/>
    </row>
    <row r="21" spans="3:7" x14ac:dyDescent="0.25">
      <c r="C21" t="s">
        <v>118</v>
      </c>
      <c r="D21" s="57"/>
      <c r="G21" s="88" t="s">
        <v>109</v>
      </c>
    </row>
    <row r="22" spans="3:7" x14ac:dyDescent="0.25">
      <c r="C22" s="19"/>
      <c r="D22" s="57"/>
      <c r="G22" s="91" t="s">
        <v>116</v>
      </c>
    </row>
    <row r="25" spans="3:7" x14ac:dyDescent="0.25">
      <c r="E25" s="43"/>
    </row>
  </sheetData>
  <hyperlinks>
    <hyperlink ref="G22" r:id="rId1" xr:uid="{1FCEB485-CFF9-4F6B-9E1A-9FE51BFA0596}"/>
  </hyperlinks>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527F94-3DB6-45FA-9E7F-2EDF87BB3683}">
  <dimension ref="B5:Q21"/>
  <sheetViews>
    <sheetView showGridLines="0" tabSelected="1" zoomScale="98" workbookViewId="0">
      <selection activeCell="S11" sqref="S11"/>
    </sheetView>
  </sheetViews>
  <sheetFormatPr defaultRowHeight="15" x14ac:dyDescent="0.25"/>
  <cols>
    <col min="2" max="2" width="22.5703125" bestFit="1" customWidth="1"/>
    <col min="3" max="3" width="9.140625" customWidth="1"/>
    <col min="15" max="15" width="19.42578125" bestFit="1" customWidth="1"/>
    <col min="17" max="17" width="9.140625" style="130"/>
  </cols>
  <sheetData>
    <row r="5" spans="2:17" ht="15.75" thickBot="1" x14ac:dyDescent="0.3"/>
    <row r="6" spans="2:17" ht="16.5" thickTop="1" thickBot="1" x14ac:dyDescent="0.3">
      <c r="B6" s="114" t="s">
        <v>2</v>
      </c>
      <c r="C6" s="114"/>
      <c r="D6" s="114"/>
      <c r="E6" s="114"/>
      <c r="F6" s="114"/>
      <c r="G6" s="114"/>
      <c r="H6" s="114"/>
      <c r="I6" s="114"/>
      <c r="J6" s="114"/>
      <c r="K6" s="114"/>
      <c r="L6" s="114"/>
      <c r="M6" s="114"/>
      <c r="N6" s="114"/>
    </row>
    <row r="7" spans="2:17" ht="15.75" thickTop="1" x14ac:dyDescent="0.25">
      <c r="B7" s="49"/>
      <c r="C7" s="49"/>
      <c r="D7" s="49"/>
      <c r="E7" s="49"/>
      <c r="F7" s="49"/>
      <c r="G7" s="49"/>
      <c r="H7" s="49"/>
      <c r="I7" s="49"/>
      <c r="J7" s="49"/>
      <c r="K7" s="49"/>
      <c r="L7" s="49"/>
      <c r="M7" s="49"/>
      <c r="N7" s="49"/>
    </row>
    <row r="8" spans="2:17" x14ac:dyDescent="0.25">
      <c r="B8" s="16" t="s">
        <v>3</v>
      </c>
      <c r="C8" s="6">
        <v>2020</v>
      </c>
      <c r="D8" s="7">
        <v>2021</v>
      </c>
      <c r="E8" s="6">
        <v>2022</v>
      </c>
      <c r="F8" s="7">
        <v>2023</v>
      </c>
      <c r="G8" s="6">
        <v>2024</v>
      </c>
      <c r="H8" s="7">
        <v>2025</v>
      </c>
      <c r="I8" s="129">
        <v>2026</v>
      </c>
      <c r="J8" s="7">
        <v>2027</v>
      </c>
      <c r="K8" s="6">
        <v>2028</v>
      </c>
      <c r="L8" s="7">
        <v>2029</v>
      </c>
      <c r="M8" s="6">
        <v>2030</v>
      </c>
      <c r="N8" s="7">
        <v>2031</v>
      </c>
      <c r="O8" s="7" t="s">
        <v>144</v>
      </c>
      <c r="P8" s="7" t="s">
        <v>145</v>
      </c>
      <c r="Q8" s="131" t="s">
        <v>146</v>
      </c>
    </row>
    <row r="9" spans="2:17" x14ac:dyDescent="0.25">
      <c r="B9" s="3" t="s">
        <v>4</v>
      </c>
      <c r="C9" s="4">
        <v>8.6620000000000008</v>
      </c>
      <c r="D9" s="4">
        <v>7.3650000000000002</v>
      </c>
      <c r="E9" s="4">
        <v>5.3</v>
      </c>
      <c r="F9" s="4">
        <v>4.9390000000000001</v>
      </c>
      <c r="G9" s="4">
        <v>4.9390000000000001</v>
      </c>
      <c r="H9" s="4">
        <v>4.9390000000000001</v>
      </c>
      <c r="I9" s="4">
        <v>4.9390000000000001</v>
      </c>
      <c r="J9" s="4">
        <v>4.9390000000000001</v>
      </c>
      <c r="K9" s="4">
        <v>4.9390000000000001</v>
      </c>
      <c r="L9" s="4">
        <v>4.9390000000000001</v>
      </c>
      <c r="M9" s="4">
        <v>4.9390000000000001</v>
      </c>
      <c r="N9" s="4">
        <v>4.9390000000000001</v>
      </c>
      <c r="O9" s="4">
        <f>AVERAGE(C9:I9)</f>
        <v>5.8690000000000007</v>
      </c>
      <c r="P9" s="4">
        <f>_xlfn.STDEV.P(C9:I9)</f>
        <v>1.4052059330524138</v>
      </c>
      <c r="Q9" s="4">
        <f>(P9/O9)</f>
        <v>0.23942851133965132</v>
      </c>
    </row>
    <row r="10" spans="2:17" x14ac:dyDescent="0.25">
      <c r="B10" s="3" t="s">
        <v>5</v>
      </c>
      <c r="C10" s="4">
        <v>-5.7779999999999996</v>
      </c>
      <c r="D10" s="4">
        <v>9.69</v>
      </c>
      <c r="E10" s="4">
        <v>7.609</v>
      </c>
      <c r="F10" s="4">
        <v>7.21</v>
      </c>
      <c r="G10" s="4">
        <v>7.0990000000000002</v>
      </c>
      <c r="H10" s="4">
        <v>7.6180000000000003</v>
      </c>
      <c r="I10" s="4">
        <v>6.4779999999999998</v>
      </c>
      <c r="J10" s="4">
        <v>6.5289999999999999</v>
      </c>
      <c r="K10" s="4">
        <v>6.5</v>
      </c>
      <c r="L10" s="4">
        <v>6.52</v>
      </c>
      <c r="M10" s="4">
        <v>6.5030000000000001</v>
      </c>
      <c r="N10" s="4">
        <v>6.5140000000000002</v>
      </c>
      <c r="O10" s="4">
        <f t="shared" ref="O10:O13" si="0">AVERAGE(C10:I10)</f>
        <v>5.7037142857142857</v>
      </c>
      <c r="P10" s="4">
        <f t="shared" ref="P10:P13" si="1">_xlfn.STDEV.P(C10:I10)</f>
        <v>4.7783750589590195</v>
      </c>
      <c r="Q10" s="4">
        <f>P10/O10</f>
        <v>0.83776550149559526</v>
      </c>
    </row>
    <row r="11" spans="2:17" x14ac:dyDescent="0.25">
      <c r="B11" s="3" t="s">
        <v>6</v>
      </c>
      <c r="C11" s="4">
        <v>4.7690000000000001</v>
      </c>
      <c r="D11" s="4">
        <v>6.1539999999999999</v>
      </c>
      <c r="E11" s="4">
        <v>5.5119999999999996</v>
      </c>
      <c r="F11" s="4">
        <v>6.6340000000000003</v>
      </c>
      <c r="G11" s="4">
        <v>5.37</v>
      </c>
      <c r="H11" s="4">
        <v>4.6390000000000002</v>
      </c>
      <c r="I11" s="4">
        <v>2.0910000000000002</v>
      </c>
      <c r="J11" s="4">
        <v>4.7149999999999999</v>
      </c>
      <c r="K11" s="4">
        <v>4</v>
      </c>
      <c r="L11" s="4">
        <v>4</v>
      </c>
      <c r="M11" s="4">
        <v>4</v>
      </c>
      <c r="N11" s="4">
        <v>4</v>
      </c>
      <c r="O11" s="4">
        <f t="shared" si="0"/>
        <v>5.0241428571428575</v>
      </c>
      <c r="P11" s="4">
        <f t="shared" si="1"/>
        <v>1.3650012484108813</v>
      </c>
      <c r="Q11" s="4">
        <f t="shared" ref="Q11:Q13" si="2">(P11/O11)*100</f>
        <v>27.168838291893909</v>
      </c>
    </row>
    <row r="12" spans="2:17" x14ac:dyDescent="0.25">
      <c r="B12" s="3" t="s">
        <v>7</v>
      </c>
      <c r="C12" s="4">
        <v>36044.775999999998</v>
      </c>
      <c r="D12" s="4">
        <v>48228.993000000002</v>
      </c>
      <c r="E12" s="4">
        <v>54137.902999999998</v>
      </c>
      <c r="F12" s="4">
        <v>61815.406999999999</v>
      </c>
      <c r="G12" s="4">
        <v>68141.218999999997</v>
      </c>
      <c r="H12" s="4">
        <v>72847.417000000001</v>
      </c>
      <c r="I12" s="4">
        <v>81625.054999999993</v>
      </c>
      <c r="J12" s="4">
        <v>90990.195999999996</v>
      </c>
      <c r="K12" s="4">
        <v>101388.777</v>
      </c>
      <c r="L12" s="4">
        <v>113003.81299999999</v>
      </c>
      <c r="M12" s="4">
        <v>125934.901</v>
      </c>
      <c r="N12" s="4">
        <v>140367.34099999999</v>
      </c>
      <c r="O12" s="4">
        <f t="shared" si="0"/>
        <v>60405.82428571429</v>
      </c>
      <c r="P12" s="4">
        <f t="shared" si="1"/>
        <v>14382.007445674353</v>
      </c>
      <c r="Q12" s="4">
        <f t="shared" si="2"/>
        <v>23.808974739999755</v>
      </c>
    </row>
    <row r="13" spans="2:17" x14ac:dyDescent="0.25">
      <c r="B13" s="3" t="s">
        <v>8</v>
      </c>
      <c r="C13" s="4">
        <v>90.561999999999998</v>
      </c>
      <c r="D13" s="4">
        <v>85.712999999999994</v>
      </c>
      <c r="E13" s="4">
        <v>84.597999999999999</v>
      </c>
      <c r="F13" s="4">
        <v>85.01</v>
      </c>
      <c r="G13" s="4">
        <v>84.781999999999996</v>
      </c>
      <c r="H13" s="4">
        <v>84.075000000000003</v>
      </c>
      <c r="I13" s="4">
        <v>83.361999999999995</v>
      </c>
      <c r="J13" s="4">
        <v>82.546000000000006</v>
      </c>
      <c r="K13" s="4">
        <v>81.662999999999997</v>
      </c>
      <c r="L13" s="4">
        <v>80.608999999999995</v>
      </c>
      <c r="M13" s="4">
        <v>79.465000000000003</v>
      </c>
      <c r="N13" s="4">
        <v>77.688999999999993</v>
      </c>
      <c r="O13" s="4">
        <f t="shared" si="0"/>
        <v>85.44314285714286</v>
      </c>
      <c r="P13" s="4">
        <f t="shared" si="1"/>
        <v>2.1979692204117756</v>
      </c>
      <c r="Q13" s="4">
        <f t="shared" si="2"/>
        <v>2.572434892858146</v>
      </c>
    </row>
    <row r="15" spans="2:17" x14ac:dyDescent="0.25">
      <c r="C15" s="17"/>
    </row>
    <row r="16" spans="2:17" x14ac:dyDescent="0.25">
      <c r="C16" s="17"/>
    </row>
    <row r="17" spans="3:3" x14ac:dyDescent="0.25">
      <c r="C17" s="17"/>
    </row>
    <row r="18" spans="3:3" x14ac:dyDescent="0.25">
      <c r="C18" s="17"/>
    </row>
    <row r="19" spans="3:3" x14ac:dyDescent="0.25">
      <c r="C19" s="17"/>
    </row>
    <row r="20" spans="3:3" x14ac:dyDescent="0.25">
      <c r="C20" s="17"/>
    </row>
    <row r="21" spans="3:3" x14ac:dyDescent="0.25">
      <c r="C21" s="17"/>
    </row>
  </sheetData>
  <mergeCells count="1">
    <mergeCell ref="B6:N6"/>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996707-1277-42A7-8B6C-31CF250F6743}">
  <dimension ref="A6:O28"/>
  <sheetViews>
    <sheetView showGridLines="0" topLeftCell="A4" workbookViewId="0">
      <selection activeCell="C18" sqref="C18"/>
    </sheetView>
  </sheetViews>
  <sheetFormatPr defaultRowHeight="15" x14ac:dyDescent="0.25"/>
  <cols>
    <col min="1" max="1" width="2.85546875" customWidth="1"/>
    <col min="2" max="2" width="19.28515625" customWidth="1"/>
    <col min="3" max="3" width="15.28515625" bestFit="1" customWidth="1"/>
    <col min="4" max="4" width="13.140625" customWidth="1"/>
  </cols>
  <sheetData>
    <row r="6" spans="1:14" x14ac:dyDescent="0.25">
      <c r="B6" s="93" t="s">
        <v>122</v>
      </c>
    </row>
    <row r="7" spans="1:14" x14ac:dyDescent="0.25">
      <c r="A7" s="96" t="s">
        <v>75</v>
      </c>
      <c r="B7" s="20" t="s">
        <v>121</v>
      </c>
      <c r="C7" s="21" t="s">
        <v>119</v>
      </c>
      <c r="D7" s="21" t="s">
        <v>120</v>
      </c>
    </row>
    <row r="8" spans="1:14" x14ac:dyDescent="0.25">
      <c r="B8" s="21" t="s">
        <v>10</v>
      </c>
      <c r="C8" s="22" t="str">
        <f>'MEV Data'!B10</f>
        <v>GDP</v>
      </c>
      <c r="D8" s="22" t="str">
        <f>'MEV Data'!B12</f>
        <v>Govt_Revenue</v>
      </c>
    </row>
    <row r="9" spans="1:14" x14ac:dyDescent="0.25">
      <c r="B9" s="94" t="s">
        <v>123</v>
      </c>
      <c r="C9" s="95">
        <v>0.5</v>
      </c>
      <c r="D9" s="95">
        <f>100%-C9</f>
        <v>0.5</v>
      </c>
    </row>
    <row r="10" spans="1:14" x14ac:dyDescent="0.25">
      <c r="C10" s="19"/>
    </row>
    <row r="11" spans="1:14" x14ac:dyDescent="0.25">
      <c r="A11" s="96" t="s">
        <v>124</v>
      </c>
      <c r="B11" s="18" t="s">
        <v>9</v>
      </c>
      <c r="C11" s="23">
        <f t="shared" ref="C11:G11" si="0">D11-1</f>
        <v>2020</v>
      </c>
      <c r="D11" s="23">
        <f t="shared" si="0"/>
        <v>2021</v>
      </c>
      <c r="E11" s="23">
        <f t="shared" si="0"/>
        <v>2022</v>
      </c>
      <c r="F11" s="23">
        <f t="shared" si="0"/>
        <v>2023</v>
      </c>
      <c r="G11" s="23">
        <f t="shared" si="0"/>
        <v>2024</v>
      </c>
      <c r="H11" s="23">
        <f>I11-1</f>
        <v>2025</v>
      </c>
      <c r="I11" s="99">
        <v>2026</v>
      </c>
      <c r="J11" s="23">
        <f>I11+1</f>
        <v>2027</v>
      </c>
      <c r="K11" s="23">
        <f t="shared" ref="K11:N11" si="1">J11+1</f>
        <v>2028</v>
      </c>
      <c r="L11" s="23">
        <f t="shared" si="1"/>
        <v>2029</v>
      </c>
      <c r="M11" s="23">
        <f t="shared" si="1"/>
        <v>2030</v>
      </c>
      <c r="N11" s="23">
        <f t="shared" si="1"/>
        <v>2031</v>
      </c>
    </row>
    <row r="12" spans="1:14" x14ac:dyDescent="0.25">
      <c r="B12" s="24" t="str">
        <f>C8</f>
        <v>GDP</v>
      </c>
      <c r="C12" s="15" cm="1">
        <f t="array" ref="C12:N12">_xlfn.XLOOKUP($C$8,'MEV Data'!$B$9:$B$13,'MEV Data'!$C$9:$N$13,"Not Found")</f>
        <v>-5.7779999999999996</v>
      </c>
      <c r="D12" s="15">
        <v>9.69</v>
      </c>
      <c r="E12" s="15">
        <v>7.609</v>
      </c>
      <c r="F12" s="15">
        <v>7.21</v>
      </c>
      <c r="G12" s="15">
        <v>7.0990000000000002</v>
      </c>
      <c r="H12" s="15">
        <v>7.6180000000000003</v>
      </c>
      <c r="I12" s="15">
        <v>6.4779999999999998</v>
      </c>
      <c r="J12" s="15">
        <v>6.5289999999999999</v>
      </c>
      <c r="K12" s="15">
        <v>6.5</v>
      </c>
      <c r="L12" s="15">
        <v>6.52</v>
      </c>
      <c r="M12" s="15">
        <v>6.5030000000000001</v>
      </c>
      <c r="N12" s="15">
        <v>6.5140000000000002</v>
      </c>
    </row>
    <row r="13" spans="1:14" x14ac:dyDescent="0.25">
      <c r="B13" s="24" t="str">
        <f>D8</f>
        <v>Govt_Revenue</v>
      </c>
      <c r="C13" s="15" cm="1">
        <f t="array" ref="C13:N13">_xlfn.XLOOKUP($D$8,'MEV Data'!$B$9:$B$13,'MEV Data'!$C$9:$N$13,"Not Found")</f>
        <v>36044.775999999998</v>
      </c>
      <c r="D13" s="15">
        <v>48228.993000000002</v>
      </c>
      <c r="E13" s="15">
        <v>54137.902999999998</v>
      </c>
      <c r="F13" s="15">
        <v>61815.406999999999</v>
      </c>
      <c r="G13" s="15">
        <v>68141.218999999997</v>
      </c>
      <c r="H13" s="15">
        <v>72847.417000000001</v>
      </c>
      <c r="I13" s="15">
        <v>81625.054999999993</v>
      </c>
      <c r="J13" s="15">
        <v>90990.195999999996</v>
      </c>
      <c r="K13" s="15">
        <v>101388.777</v>
      </c>
      <c r="L13" s="15">
        <v>113003.81299999999</v>
      </c>
      <c r="M13" s="15">
        <v>125934.901</v>
      </c>
      <c r="N13" s="15">
        <v>140367.34099999999</v>
      </c>
    </row>
    <row r="14" spans="1:14" x14ac:dyDescent="0.25">
      <c r="B14" s="93"/>
    </row>
    <row r="15" spans="1:14" x14ac:dyDescent="0.25">
      <c r="B15" s="88"/>
    </row>
    <row r="16" spans="1:14" x14ac:dyDescent="0.25">
      <c r="A16" s="96" t="s">
        <v>125</v>
      </c>
      <c r="B16" s="115" t="s">
        <v>11</v>
      </c>
      <c r="C16" s="115"/>
      <c r="D16" s="115"/>
    </row>
    <row r="17" spans="1:15" x14ac:dyDescent="0.25">
      <c r="B17" s="9"/>
      <c r="C17" s="11" t="str">
        <f>B12</f>
        <v>GDP</v>
      </c>
      <c r="D17" s="11" t="str">
        <f>B13</f>
        <v>Govt_Revenue</v>
      </c>
    </row>
    <row r="18" spans="1:15" x14ac:dyDescent="0.25">
      <c r="B18" s="11" t="s">
        <v>12</v>
      </c>
      <c r="C18" s="15">
        <f>AVERAGE(C12:I12)</f>
        <v>5.7037142857142857</v>
      </c>
      <c r="D18" s="15">
        <f>AVERAGE(C13:I13)</f>
        <v>60405.82428571429</v>
      </c>
    </row>
    <row r="19" spans="1:15" x14ac:dyDescent="0.25">
      <c r="B19" s="11" t="s">
        <v>13</v>
      </c>
      <c r="C19" s="15">
        <f>_xlfn.STDEV.P(C12:I12)</f>
        <v>4.7783750589590195</v>
      </c>
      <c r="D19" s="15">
        <f>_xlfn.STDEV.P(C13:I13)</f>
        <v>14382.007445674353</v>
      </c>
    </row>
    <row r="21" spans="1:15" x14ac:dyDescent="0.25">
      <c r="A21" s="96" t="s">
        <v>126</v>
      </c>
      <c r="B21" s="25" t="s">
        <v>14</v>
      </c>
      <c r="C21" s="10"/>
      <c r="D21" s="10"/>
      <c r="E21" s="10"/>
      <c r="F21" s="10"/>
      <c r="G21" s="10"/>
      <c r="H21" s="10"/>
      <c r="I21" s="10"/>
      <c r="J21" s="10"/>
      <c r="K21" s="10"/>
      <c r="L21" s="10"/>
      <c r="M21" s="10"/>
      <c r="N21" s="10"/>
      <c r="O21" s="10"/>
    </row>
    <row r="22" spans="1:15" x14ac:dyDescent="0.25">
      <c r="B22" s="2" t="s">
        <v>9</v>
      </c>
      <c r="C22" s="1">
        <f>C11</f>
        <v>2020</v>
      </c>
      <c r="D22" s="2">
        <f>C22+1</f>
        <v>2021</v>
      </c>
      <c r="E22" s="2">
        <f t="shared" ref="E22:N22" si="2">D22+1</f>
        <v>2022</v>
      </c>
      <c r="F22" s="2">
        <f t="shared" si="2"/>
        <v>2023</v>
      </c>
      <c r="G22" s="2">
        <f t="shared" si="2"/>
        <v>2024</v>
      </c>
      <c r="H22" s="2">
        <f t="shared" si="2"/>
        <v>2025</v>
      </c>
      <c r="I22" s="2">
        <f t="shared" si="2"/>
        <v>2026</v>
      </c>
      <c r="J22" s="2">
        <f t="shared" si="2"/>
        <v>2027</v>
      </c>
      <c r="K22" s="2">
        <f t="shared" si="2"/>
        <v>2028</v>
      </c>
      <c r="L22" s="2">
        <f t="shared" si="2"/>
        <v>2029</v>
      </c>
      <c r="M22" s="2">
        <f t="shared" si="2"/>
        <v>2030</v>
      </c>
      <c r="N22" s="2">
        <f t="shared" si="2"/>
        <v>2031</v>
      </c>
    </row>
    <row r="23" spans="1:15" x14ac:dyDescent="0.25">
      <c r="B23" s="26" t="str">
        <f>B12</f>
        <v>GDP</v>
      </c>
      <c r="C23" s="4">
        <f t="shared" ref="C23:N23" si="3">(C12-$C$18)/$C$19</f>
        <v>-2.4028491158698633</v>
      </c>
      <c r="D23" s="4">
        <f t="shared" si="3"/>
        <v>0.83423458081462021</v>
      </c>
      <c r="E23" s="4">
        <f t="shared" si="3"/>
        <v>0.39873088461599021</v>
      </c>
      <c r="F23" s="4">
        <f t="shared" si="3"/>
        <v>0.31522969538809331</v>
      </c>
      <c r="G23" s="4">
        <f t="shared" si="3"/>
        <v>0.29200004124198675</v>
      </c>
      <c r="H23" s="4">
        <f t="shared" si="3"/>
        <v>0.40061437008729622</v>
      </c>
      <c r="I23" s="4">
        <f t="shared" si="3"/>
        <v>0.16203954372187646</v>
      </c>
      <c r="J23" s="4">
        <f t="shared" si="3"/>
        <v>0.17271262805927684</v>
      </c>
      <c r="K23" s="4">
        <f t="shared" si="3"/>
        <v>0.16664361931840216</v>
      </c>
      <c r="L23" s="4">
        <f t="shared" si="3"/>
        <v>0.17082914258797083</v>
      </c>
      <c r="M23" s="4">
        <f t="shared" si="3"/>
        <v>0.16727144780883749</v>
      </c>
      <c r="N23" s="4">
        <f t="shared" si="3"/>
        <v>0.16957348560710034</v>
      </c>
    </row>
    <row r="24" spans="1:15" x14ac:dyDescent="0.25">
      <c r="B24" s="11" t="str">
        <f>B13</f>
        <v>Govt_Revenue</v>
      </c>
      <c r="C24" s="4">
        <f t="shared" ref="C24:N24" si="4">(C13-$D$18)/$D$19</f>
        <v>-1.6938559083447919</v>
      </c>
      <c r="D24" s="4">
        <f t="shared" si="4"/>
        <v>-0.84667118493091098</v>
      </c>
      <c r="E24" s="4">
        <f t="shared" si="4"/>
        <v>-0.43581685723570401</v>
      </c>
      <c r="F24" s="4">
        <f t="shared" si="4"/>
        <v>9.8010150502992971E-2</v>
      </c>
      <c r="G24" s="4">
        <f t="shared" si="4"/>
        <v>0.53785222567189439</v>
      </c>
      <c r="H24" s="4">
        <f t="shared" si="4"/>
        <v>0.86508039724508301</v>
      </c>
      <c r="I24" s="4">
        <f t="shared" si="4"/>
        <v>1.4754011770914335</v>
      </c>
      <c r="J24" s="4">
        <f t="shared" si="4"/>
        <v>2.1265718175861816</v>
      </c>
      <c r="K24" s="4">
        <f t="shared" si="4"/>
        <v>2.8495989081560427</v>
      </c>
      <c r="L24" s="4">
        <f t="shared" si="4"/>
        <v>3.6572077238150431</v>
      </c>
      <c r="M24" s="4">
        <f t="shared" si="4"/>
        <v>4.5563233757047419</v>
      </c>
      <c r="N24" s="4">
        <f t="shared" si="4"/>
        <v>5.5598300179114117</v>
      </c>
    </row>
    <row r="26" spans="1:15" x14ac:dyDescent="0.25">
      <c r="A26" s="96" t="s">
        <v>127</v>
      </c>
      <c r="B26" s="25" t="s">
        <v>15</v>
      </c>
      <c r="D26" s="10"/>
      <c r="E26" s="10"/>
      <c r="F26" s="10"/>
      <c r="G26" s="10"/>
      <c r="H26" s="10"/>
      <c r="I26" s="10"/>
      <c r="J26" s="10"/>
      <c r="K26" s="10"/>
      <c r="L26" s="10"/>
      <c r="M26" s="10"/>
      <c r="N26" s="10"/>
      <c r="O26" s="10"/>
    </row>
    <row r="27" spans="1:15" x14ac:dyDescent="0.25">
      <c r="B27" s="2" t="s">
        <v>9</v>
      </c>
      <c r="C27" s="1">
        <f>C22</f>
        <v>2020</v>
      </c>
      <c r="D27" s="2">
        <f>C27+1</f>
        <v>2021</v>
      </c>
      <c r="E27" s="2">
        <f t="shared" ref="E27:N27" si="5">D27+1</f>
        <v>2022</v>
      </c>
      <c r="F27" s="2">
        <f t="shared" si="5"/>
        <v>2023</v>
      </c>
      <c r="G27" s="2">
        <f t="shared" si="5"/>
        <v>2024</v>
      </c>
      <c r="H27" s="2">
        <f t="shared" si="5"/>
        <v>2025</v>
      </c>
      <c r="I27" s="2">
        <f t="shared" si="5"/>
        <v>2026</v>
      </c>
      <c r="J27" s="2">
        <f t="shared" si="5"/>
        <v>2027</v>
      </c>
      <c r="K27" s="2">
        <f t="shared" si="5"/>
        <v>2028</v>
      </c>
      <c r="L27" s="2">
        <f t="shared" si="5"/>
        <v>2029</v>
      </c>
      <c r="M27" s="2">
        <f t="shared" si="5"/>
        <v>2030</v>
      </c>
      <c r="N27" s="2">
        <f t="shared" si="5"/>
        <v>2031</v>
      </c>
    </row>
    <row r="28" spans="1:15" x14ac:dyDescent="0.25">
      <c r="B28" s="11" t="s">
        <v>16</v>
      </c>
      <c r="C28" s="4">
        <f>C23*$C$9+C24*$D$9</f>
        <v>-2.0483525121073276</v>
      </c>
      <c r="D28" s="4">
        <f t="shared" ref="D28:N28" si="6">D23*$C$9+D24*$D$9</f>
        <v>-6.2183020581453863E-3</v>
      </c>
      <c r="E28" s="4">
        <f t="shared" si="6"/>
        <v>-1.8542986309856901E-2</v>
      </c>
      <c r="F28" s="4">
        <f t="shared" si="6"/>
        <v>0.20661992294554316</v>
      </c>
      <c r="G28" s="4">
        <f t="shared" si="6"/>
        <v>0.41492613345694057</v>
      </c>
      <c r="H28" s="4">
        <f t="shared" si="6"/>
        <v>0.63284738366618964</v>
      </c>
      <c r="I28" s="4">
        <f t="shared" si="6"/>
        <v>0.81872036040665497</v>
      </c>
      <c r="J28" s="4">
        <f t="shared" si="6"/>
        <v>1.1496422228227292</v>
      </c>
      <c r="K28" s="4">
        <f t="shared" si="6"/>
        <v>1.5081212637372223</v>
      </c>
      <c r="L28" s="4">
        <f t="shared" si="6"/>
        <v>1.9140184332015069</v>
      </c>
      <c r="M28" s="4">
        <f t="shared" si="6"/>
        <v>2.3617974117567897</v>
      </c>
      <c r="N28" s="4">
        <f t="shared" si="6"/>
        <v>2.8647017517592559</v>
      </c>
    </row>
  </sheetData>
  <mergeCells count="1">
    <mergeCell ref="B16:D16"/>
  </mergeCell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756D50-C547-4616-9B79-A91F7765A933}">
  <dimension ref="A7:M22"/>
  <sheetViews>
    <sheetView showGridLines="0" workbookViewId="0">
      <selection activeCell="Q18" sqref="Q18"/>
    </sheetView>
  </sheetViews>
  <sheetFormatPr defaultColWidth="9.140625" defaultRowHeight="11.25" x14ac:dyDescent="0.2"/>
  <cols>
    <col min="1" max="1" width="26.5703125" style="10" bestFit="1" customWidth="1"/>
    <col min="2" max="16384" width="9.140625" style="10"/>
  </cols>
  <sheetData>
    <row r="7" spans="1:13" x14ac:dyDescent="0.2">
      <c r="A7" s="116" t="s">
        <v>17</v>
      </c>
      <c r="B7" s="116"/>
      <c r="C7" s="116"/>
      <c r="D7" s="116"/>
      <c r="E7" s="116"/>
      <c r="F7" s="116"/>
      <c r="G7" s="116"/>
      <c r="H7" s="116"/>
      <c r="I7" s="116"/>
      <c r="J7" s="116"/>
      <c r="K7" s="116"/>
      <c r="L7" s="116"/>
      <c r="M7" s="116"/>
    </row>
    <row r="9" spans="1:13" x14ac:dyDescent="0.2">
      <c r="A9" s="25" t="s">
        <v>18</v>
      </c>
    </row>
    <row r="10" spans="1:13" x14ac:dyDescent="0.2">
      <c r="A10" s="2" t="s">
        <v>9</v>
      </c>
      <c r="B10" s="1">
        <f>MEV_Index!C11</f>
        <v>2020</v>
      </c>
      <c r="C10" s="2">
        <f>MEV_Index!D11</f>
        <v>2021</v>
      </c>
      <c r="D10" s="2">
        <f>MEV_Index!E11</f>
        <v>2022</v>
      </c>
      <c r="E10" s="2">
        <f>MEV_Index!F11</f>
        <v>2023</v>
      </c>
      <c r="F10" s="2">
        <f>MEV_Index!G11</f>
        <v>2024</v>
      </c>
      <c r="G10" s="2">
        <f>MEV_Index!H11</f>
        <v>2025</v>
      </c>
      <c r="H10" s="2">
        <f>MEV_Index!I11</f>
        <v>2026</v>
      </c>
      <c r="I10" s="2">
        <f>MEV_Index!J11</f>
        <v>2027</v>
      </c>
      <c r="J10" s="2">
        <f>MEV_Index!K11</f>
        <v>2028</v>
      </c>
      <c r="K10" s="2">
        <f>MEV_Index!L11</f>
        <v>2029</v>
      </c>
      <c r="L10" s="2">
        <f>MEV_Index!M11</f>
        <v>2030</v>
      </c>
      <c r="M10" s="2">
        <f>MEV_Index!N11</f>
        <v>2031</v>
      </c>
    </row>
    <row r="11" spans="1:13" x14ac:dyDescent="0.2">
      <c r="A11" s="11" t="s">
        <v>15</v>
      </c>
      <c r="B11" s="15">
        <f>MEV_Index!C28</f>
        <v>-2.0483525121073276</v>
      </c>
      <c r="C11" s="15">
        <f>MEV_Index!D28</f>
        <v>-6.2183020581453863E-3</v>
      </c>
      <c r="D11" s="15">
        <f>MEV_Index!E28</f>
        <v>-1.8542986309856901E-2</v>
      </c>
      <c r="E11" s="15">
        <f>MEV_Index!F28</f>
        <v>0.20661992294554316</v>
      </c>
      <c r="F11" s="15">
        <f>MEV_Index!G28</f>
        <v>0.41492613345694057</v>
      </c>
      <c r="G11" s="15">
        <f>MEV_Index!H28</f>
        <v>0.63284738366618964</v>
      </c>
      <c r="H11" s="15">
        <f>MEV_Index!I28</f>
        <v>0.81872036040665497</v>
      </c>
      <c r="I11" s="15">
        <f>MEV_Index!J28</f>
        <v>1.1496422228227292</v>
      </c>
      <c r="J11" s="15">
        <f>MEV_Index!K28</f>
        <v>1.5081212637372223</v>
      </c>
      <c r="K11" s="15">
        <f>MEV_Index!L28</f>
        <v>1.9140184332015069</v>
      </c>
      <c r="L11" s="15">
        <f>MEV_Index!M28</f>
        <v>2.3617974117567897</v>
      </c>
      <c r="M11" s="15">
        <f>MEV_Index!N28</f>
        <v>2.8647017517592559</v>
      </c>
    </row>
    <row r="12" spans="1:13" x14ac:dyDescent="0.2">
      <c r="A12" s="12"/>
      <c r="B12" s="36"/>
      <c r="C12" s="36"/>
      <c r="D12" s="36"/>
      <c r="E12" s="36"/>
      <c r="F12" s="36"/>
      <c r="G12" s="36"/>
      <c r="H12" s="36"/>
      <c r="I12" s="36"/>
      <c r="J12" s="36"/>
      <c r="K12" s="36"/>
      <c r="L12" s="36"/>
      <c r="M12" s="36"/>
    </row>
    <row r="14" spans="1:13" x14ac:dyDescent="0.2">
      <c r="A14" s="27" t="s">
        <v>19</v>
      </c>
    </row>
    <row r="15" spans="1:13" x14ac:dyDescent="0.2">
      <c r="A15" s="28" t="s">
        <v>9</v>
      </c>
      <c r="B15" s="97">
        <f>B10</f>
        <v>2020</v>
      </c>
      <c r="C15" s="28">
        <f t="shared" ref="C15:M15" si="0">C10</f>
        <v>2021</v>
      </c>
      <c r="D15" s="28">
        <f t="shared" si="0"/>
        <v>2022</v>
      </c>
      <c r="E15" s="28">
        <f t="shared" si="0"/>
        <v>2023</v>
      </c>
      <c r="F15" s="28">
        <f t="shared" si="0"/>
        <v>2024</v>
      </c>
      <c r="G15" s="28">
        <f t="shared" si="0"/>
        <v>2025</v>
      </c>
      <c r="H15" s="28">
        <f t="shared" si="0"/>
        <v>2026</v>
      </c>
      <c r="I15" s="28">
        <f t="shared" si="0"/>
        <v>2027</v>
      </c>
      <c r="J15" s="28">
        <f t="shared" si="0"/>
        <v>2028</v>
      </c>
      <c r="K15" s="28">
        <f t="shared" si="0"/>
        <v>2029</v>
      </c>
      <c r="L15" s="28">
        <f t="shared" si="0"/>
        <v>2030</v>
      </c>
      <c r="M15" s="28">
        <f t="shared" si="0"/>
        <v>2031</v>
      </c>
    </row>
    <row r="16" spans="1:13" x14ac:dyDescent="0.2">
      <c r="A16" s="29" t="s">
        <v>15</v>
      </c>
      <c r="B16" s="30">
        <f>IF(B11&lt;0,B11*Admin!$B$14,B11*Admin!$B$15)</f>
        <v>-1.8435172608965948</v>
      </c>
      <c r="C16" s="30">
        <f>IF(C11&lt;0,C11*Admin!$B$14,C11*Admin!$B$15)</f>
        <v>-5.5964718523308478E-3</v>
      </c>
      <c r="D16" s="30">
        <f>IF(D11&lt;0,D11*Admin!$B$14,D11*Admin!$B$15)</f>
        <v>-1.6688687678871213E-2</v>
      </c>
      <c r="E16" s="30">
        <f>IF(E11&lt;0,E11*Admin!$B$14,E11*Admin!$B$15)</f>
        <v>0.2272819152400975</v>
      </c>
      <c r="F16" s="30">
        <f>IF(F11&lt;0,F11*Admin!$B$14,F11*Admin!$B$15)</f>
        <v>0.45641874680263467</v>
      </c>
      <c r="G16" s="30">
        <f>IF(G11&lt;0,G11*Admin!$B$14,G11*Admin!$B$15)</f>
        <v>0.69613212203280872</v>
      </c>
      <c r="H16" s="30">
        <f>IF(H11&lt;0,H11*Admin!$B$14,H11*Admin!$B$15)</f>
        <v>0.90059239644732059</v>
      </c>
      <c r="I16" s="30">
        <f>IF(I11&lt;0,I11*Admin!$B$14,I11*Admin!$B$15)</f>
        <v>1.2646064451050023</v>
      </c>
      <c r="J16" s="30">
        <f>IF(J11&lt;0,J11*Admin!$B$14,J11*Admin!$B$15)</f>
        <v>1.6589333901109447</v>
      </c>
      <c r="K16" s="30">
        <f>IF(K11&lt;0,K11*Admin!$B$14,K11*Admin!$B$15)</f>
        <v>2.1054202765216576</v>
      </c>
      <c r="L16" s="30">
        <f>IF(L11&lt;0,L11*Admin!$B$14,L11*Admin!$B$15)</f>
        <v>2.5979771529324687</v>
      </c>
      <c r="M16" s="30">
        <f>IF(M11&lt;0,M11*Admin!$B$14,M11*Admin!$B$15)</f>
        <v>3.1511719269351817</v>
      </c>
    </row>
    <row r="17" spans="1:13" x14ac:dyDescent="0.2">
      <c r="A17" s="29"/>
      <c r="B17" s="31"/>
      <c r="C17" s="31"/>
      <c r="D17" s="31"/>
      <c r="E17" s="31"/>
      <c r="F17" s="31"/>
      <c r="G17" s="31"/>
      <c r="H17" s="31"/>
      <c r="I17" s="31"/>
      <c r="J17" s="31"/>
      <c r="K17" s="31"/>
      <c r="L17" s="31"/>
      <c r="M17" s="31"/>
    </row>
    <row r="19" spans="1:13" x14ac:dyDescent="0.2">
      <c r="A19" s="32" t="s">
        <v>20</v>
      </c>
    </row>
    <row r="20" spans="1:13" x14ac:dyDescent="0.2">
      <c r="A20" s="32" t="s">
        <v>9</v>
      </c>
      <c r="B20" s="98">
        <f>B15</f>
        <v>2020</v>
      </c>
      <c r="C20" s="32">
        <f t="shared" ref="C20:M20" si="1">C15</f>
        <v>2021</v>
      </c>
      <c r="D20" s="32">
        <f t="shared" si="1"/>
        <v>2022</v>
      </c>
      <c r="E20" s="32">
        <f t="shared" si="1"/>
        <v>2023</v>
      </c>
      <c r="F20" s="32">
        <f t="shared" si="1"/>
        <v>2024</v>
      </c>
      <c r="G20" s="32">
        <f t="shared" si="1"/>
        <v>2025</v>
      </c>
      <c r="H20" s="32">
        <f t="shared" si="1"/>
        <v>2026</v>
      </c>
      <c r="I20" s="32">
        <f t="shared" si="1"/>
        <v>2027</v>
      </c>
      <c r="J20" s="32">
        <f t="shared" si="1"/>
        <v>2028</v>
      </c>
      <c r="K20" s="32">
        <f t="shared" si="1"/>
        <v>2029</v>
      </c>
      <c r="L20" s="32">
        <f t="shared" si="1"/>
        <v>2030</v>
      </c>
      <c r="M20" s="32">
        <f t="shared" si="1"/>
        <v>2031</v>
      </c>
    </row>
    <row r="21" spans="1:13" x14ac:dyDescent="0.2">
      <c r="A21" s="33" t="s">
        <v>15</v>
      </c>
      <c r="B21" s="34">
        <f>IF(B11&lt;0,B11*Admin!$B$15,B11*Admin!$B$14)</f>
        <v>-2.2531877633180604</v>
      </c>
      <c r="C21" s="34">
        <f>IF(C11&lt;0,C11*Admin!$B$15,C11*Admin!$B$14)</f>
        <v>-6.8401322639599256E-3</v>
      </c>
      <c r="D21" s="34">
        <f>IF(D11&lt;0,D11*Admin!$B$15,D11*Admin!$B$14)</f>
        <v>-2.0397284940842593E-2</v>
      </c>
      <c r="E21" s="34">
        <f>IF(E11&lt;0,E11*Admin!$B$15,E11*Admin!$B$14)</f>
        <v>0.18595793065098884</v>
      </c>
      <c r="F21" s="34">
        <f>IF(F11&lt;0,F11*Admin!$B$15,F11*Admin!$B$14)</f>
        <v>0.37343352011124653</v>
      </c>
      <c r="G21" s="34">
        <f>IF(G11&lt;0,G11*Admin!$B$15,G11*Admin!$B$14)</f>
        <v>0.56956264529957068</v>
      </c>
      <c r="H21" s="34">
        <f>IF(H11&lt;0,H11*Admin!$B$15,H11*Admin!$B$14)</f>
        <v>0.73684832436598946</v>
      </c>
      <c r="I21" s="34">
        <f>IF(I11&lt;0,I11*Admin!$B$15,I11*Admin!$B$14)</f>
        <v>1.0346780005404563</v>
      </c>
      <c r="J21" s="34">
        <f>IF(J11&lt;0,J11*Admin!$B$15,J11*Admin!$B$14)</f>
        <v>1.3573091373635002</v>
      </c>
      <c r="K21" s="34">
        <f>IF(K11&lt;0,K11*Admin!$B$15,K11*Admin!$B$14)</f>
        <v>1.7226165898813561</v>
      </c>
      <c r="L21" s="34">
        <f>IF(L11&lt;0,L11*Admin!$B$15,L11*Admin!$B$14)</f>
        <v>2.1256176705811107</v>
      </c>
      <c r="M21" s="34">
        <f>IF(M11&lt;0,M11*Admin!$B$15,M11*Admin!$B$14)</f>
        <v>2.5782315765833306</v>
      </c>
    </row>
    <row r="22" spans="1:13" x14ac:dyDescent="0.2">
      <c r="A22" s="33"/>
      <c r="B22" s="35"/>
      <c r="C22" s="35"/>
      <c r="D22" s="35"/>
      <c r="E22" s="35"/>
      <c r="F22" s="35"/>
      <c r="G22" s="35"/>
      <c r="H22" s="35"/>
      <c r="I22" s="35"/>
      <c r="J22" s="35"/>
      <c r="K22" s="35"/>
      <c r="L22" s="35"/>
      <c r="M22" s="35"/>
    </row>
  </sheetData>
  <mergeCells count="1">
    <mergeCell ref="A7:M7"/>
  </mergeCells>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2CDBCD-9AC3-46A7-AAF7-F5886BBCD134}">
  <dimension ref="B6:L52"/>
  <sheetViews>
    <sheetView showGridLines="0" topLeftCell="A39" zoomScale="107" workbookViewId="0"/>
  </sheetViews>
  <sheetFormatPr defaultRowHeight="15" x14ac:dyDescent="0.25"/>
  <cols>
    <col min="2" max="2" width="19.85546875" customWidth="1"/>
    <col min="4" max="4" width="12.85546875" customWidth="1"/>
  </cols>
  <sheetData>
    <row r="6" spans="2:12" x14ac:dyDescent="0.25">
      <c r="B6" s="117" t="s">
        <v>21</v>
      </c>
      <c r="C6" s="118"/>
      <c r="D6" s="118"/>
      <c r="E6" s="118"/>
      <c r="F6" s="118"/>
      <c r="G6" s="118"/>
      <c r="H6" s="118"/>
      <c r="I6" s="118"/>
      <c r="J6" s="119"/>
      <c r="K6" s="62"/>
    </row>
    <row r="8" spans="2:12" x14ac:dyDescent="0.25">
      <c r="B8" s="45" t="s">
        <v>18</v>
      </c>
      <c r="C8" s="37"/>
      <c r="D8" s="37"/>
      <c r="E8" s="2">
        <v>2026</v>
      </c>
      <c r="F8" s="2">
        <f t="shared" ref="F8:J8" si="0">E8+1</f>
        <v>2027</v>
      </c>
      <c r="G8" s="2">
        <f t="shared" si="0"/>
        <v>2028</v>
      </c>
      <c r="H8" s="2">
        <f t="shared" si="0"/>
        <v>2029</v>
      </c>
      <c r="I8" s="2">
        <f t="shared" si="0"/>
        <v>2030</v>
      </c>
      <c r="J8" s="59">
        <f t="shared" si="0"/>
        <v>2031</v>
      </c>
      <c r="K8" s="61"/>
    </row>
    <row r="9" spans="2:12" x14ac:dyDescent="0.25">
      <c r="B9" s="21" t="s">
        <v>25</v>
      </c>
      <c r="C9" s="2" t="s">
        <v>26</v>
      </c>
      <c r="D9" s="2" t="s">
        <v>27</v>
      </c>
      <c r="E9" s="38">
        <f>'MEV Scenario'!H11</f>
        <v>0.81872036040665497</v>
      </c>
      <c r="F9" s="38">
        <f>'MEV Scenario'!I11</f>
        <v>1.1496422228227292</v>
      </c>
      <c r="G9" s="38">
        <f>'MEV Scenario'!J11</f>
        <v>1.5081212637372223</v>
      </c>
      <c r="H9" s="38">
        <f>'MEV Scenario'!K11</f>
        <v>1.9140184332015069</v>
      </c>
      <c r="I9" s="38">
        <f>'MEV Scenario'!L11</f>
        <v>2.3617974117567897</v>
      </c>
      <c r="J9" s="60">
        <f>'MEV Scenario'!M11</f>
        <v>2.8647017517592559</v>
      </c>
      <c r="K9" s="58"/>
    </row>
    <row r="10" spans="2:12" x14ac:dyDescent="0.25">
      <c r="B10" s="3" t="str">
        <f>'TTC PD'!C8</f>
        <v>AAA</v>
      </c>
      <c r="C10" s="39">
        <f>'TTC PD'!D8</f>
        <v>2.9999999999999997E-4</v>
      </c>
      <c r="D10" s="4">
        <f>(0.12*(1-EXP(-50*C10))/(1-EXP(-50)))+0.24*(1-(1-EXP(-50*C10))/(1-EXP(-50)))</f>
        <v>0.2382134327523675</v>
      </c>
      <c r="E10" s="5">
        <f>IFERROR(
   IF( NORMSDIST((NORMSINV($C10)-SQRT($D10)*E$9)/SQRT(1-$D10))&lt;0.03%,
       0.03%,
       NORMSDIST((NORMSINV($C10)-SQRT($D10)*E$9)/SQRT(1-$D10))
   ),
   0.03%
)</f>
        <v>2.9999999999999997E-4</v>
      </c>
      <c r="F10" s="5">
        <f t="shared" ref="F10:J21" si="1">IFERROR(
   IF( NORMSDIST((NORMSINV($C10)-SQRT($D10)*F$9)/SQRT(1-$D10))&lt;0.03%,
       0.03%,
       NORMSDIST((NORMSINV($C10)-SQRT($D10)*F$9)/SQRT(1-$D10))
   ),
   0.03%
)</f>
        <v>2.9999999999999997E-4</v>
      </c>
      <c r="G10" s="5">
        <f t="shared" si="1"/>
        <v>2.9999999999999997E-4</v>
      </c>
      <c r="H10" s="5">
        <f t="shared" si="1"/>
        <v>2.9999999999999997E-4</v>
      </c>
      <c r="I10" s="5">
        <f t="shared" si="1"/>
        <v>2.9999999999999997E-4</v>
      </c>
      <c r="J10" s="5">
        <f t="shared" si="1"/>
        <v>2.9999999999999997E-4</v>
      </c>
      <c r="K10" s="57"/>
      <c r="L10" s="50"/>
    </row>
    <row r="11" spans="2:12" x14ac:dyDescent="0.25">
      <c r="B11" s="3" t="str">
        <f>'TTC PD'!C9</f>
        <v>AA+</v>
      </c>
      <c r="C11" s="39">
        <f>'TTC PD'!D9</f>
        <v>2.8999999999999998E-3</v>
      </c>
      <c r="D11" s="4">
        <f t="shared" ref="D11:D21" si="2">(0.12*(1-EXP(-50*C11))/(1-EXP(-50)))+0.24*(1-(1-EXP(-50*C11))/(1-EXP(-50)))</f>
        <v>0.22380267517328895</v>
      </c>
      <c r="E11" s="5">
        <f t="shared" ref="E11:E21" si="3">IFERROR(
   IF( NORMSDIST((NORMSINV($C11)-SQRT($D11)*E$9)/SQRT(1-$D11))&lt;0.03%,
       0.03%,
       NORMSDIST((NORMSINV($C11)-SQRT($D11)*E$9)/SQRT(1-$D11))
   ),
   0.03%
)</f>
        <v>2.9999999999999997E-4</v>
      </c>
      <c r="F11" s="5">
        <f t="shared" si="1"/>
        <v>2.9999999999999997E-4</v>
      </c>
      <c r="G11" s="5">
        <f t="shared" si="1"/>
        <v>2.9999999999999997E-4</v>
      </c>
      <c r="H11" s="5">
        <f t="shared" si="1"/>
        <v>2.9999999999999997E-4</v>
      </c>
      <c r="I11" s="5">
        <f t="shared" si="1"/>
        <v>2.9999999999999997E-4</v>
      </c>
      <c r="J11" s="5">
        <f t="shared" si="1"/>
        <v>2.9999999999999997E-4</v>
      </c>
      <c r="K11" s="57"/>
      <c r="L11" s="50"/>
    </row>
    <row r="12" spans="2:12" x14ac:dyDescent="0.25">
      <c r="B12" s="3" t="str">
        <f>'TTC PD'!C10</f>
        <v>AA</v>
      </c>
      <c r="C12" s="39">
        <f>'TTC PD'!D10</f>
        <v>2.8999999999999998E-3</v>
      </c>
      <c r="D12" s="4">
        <f t="shared" si="2"/>
        <v>0.22380267517328895</v>
      </c>
      <c r="E12" s="5">
        <f t="shared" si="3"/>
        <v>2.9999999999999997E-4</v>
      </c>
      <c r="F12" s="5">
        <f t="shared" si="1"/>
        <v>2.9999999999999997E-4</v>
      </c>
      <c r="G12" s="5">
        <f t="shared" si="1"/>
        <v>2.9999999999999997E-4</v>
      </c>
      <c r="H12" s="5">
        <f t="shared" si="1"/>
        <v>2.9999999999999997E-4</v>
      </c>
      <c r="I12" s="5">
        <f t="shared" si="1"/>
        <v>2.9999999999999997E-4</v>
      </c>
      <c r="J12" s="5">
        <f t="shared" si="1"/>
        <v>2.9999999999999997E-4</v>
      </c>
      <c r="K12" s="57"/>
      <c r="L12" s="50"/>
    </row>
    <row r="13" spans="2:12" x14ac:dyDescent="0.25">
      <c r="B13" s="3" t="str">
        <f>'TTC PD'!C11</f>
        <v>AA-</v>
      </c>
      <c r="C13" s="39">
        <f>'TTC PD'!D11</f>
        <v>2.8999999999999998E-3</v>
      </c>
      <c r="D13" s="4">
        <f t="shared" si="2"/>
        <v>0.22380267517328895</v>
      </c>
      <c r="E13" s="5">
        <f t="shared" si="3"/>
        <v>2.9999999999999997E-4</v>
      </c>
      <c r="F13" s="5">
        <f t="shared" si="1"/>
        <v>2.9999999999999997E-4</v>
      </c>
      <c r="G13" s="5">
        <f t="shared" si="1"/>
        <v>2.9999999999999997E-4</v>
      </c>
      <c r="H13" s="5">
        <f t="shared" si="1"/>
        <v>2.9999999999999997E-4</v>
      </c>
      <c r="I13" s="5">
        <f t="shared" si="1"/>
        <v>2.9999999999999997E-4</v>
      </c>
      <c r="J13" s="5">
        <f t="shared" si="1"/>
        <v>2.9999999999999997E-4</v>
      </c>
      <c r="K13" s="57"/>
      <c r="L13" s="50"/>
    </row>
    <row r="14" spans="2:12" x14ac:dyDescent="0.25">
      <c r="B14" s="3" t="str">
        <f>'TTC PD'!C12</f>
        <v>A+</v>
      </c>
      <c r="C14" s="39">
        <f>'TTC PD'!D12</f>
        <v>6.6E-3</v>
      </c>
      <c r="D14" s="4">
        <f t="shared" si="2"/>
        <v>0.20627084801183113</v>
      </c>
      <c r="E14" s="5">
        <f t="shared" si="3"/>
        <v>6.8917817677122128E-4</v>
      </c>
      <c r="F14" s="5">
        <f t="shared" si="1"/>
        <v>3.7879399109894319E-4</v>
      </c>
      <c r="G14" s="5">
        <f t="shared" si="1"/>
        <v>2.9999999999999997E-4</v>
      </c>
      <c r="H14" s="5">
        <f t="shared" si="1"/>
        <v>2.9999999999999997E-4</v>
      </c>
      <c r="I14" s="5">
        <f t="shared" si="1"/>
        <v>2.9999999999999997E-4</v>
      </c>
      <c r="J14" s="5">
        <f t="shared" si="1"/>
        <v>2.9999999999999997E-4</v>
      </c>
      <c r="K14" s="57"/>
      <c r="L14" s="50"/>
    </row>
    <row r="15" spans="2:12" x14ac:dyDescent="0.25">
      <c r="B15" s="3" t="str">
        <f>'TTC PD'!C13</f>
        <v>A</v>
      </c>
      <c r="C15" s="39">
        <f>'TTC PD'!D13</f>
        <v>6.6E-3</v>
      </c>
      <c r="D15" s="4">
        <f t="shared" si="2"/>
        <v>0.20627084801183113</v>
      </c>
      <c r="E15" s="5">
        <f t="shared" si="3"/>
        <v>6.8917817677122128E-4</v>
      </c>
      <c r="F15" s="5">
        <f t="shared" si="1"/>
        <v>3.7879399109894319E-4</v>
      </c>
      <c r="G15" s="5">
        <f t="shared" si="1"/>
        <v>2.9999999999999997E-4</v>
      </c>
      <c r="H15" s="5">
        <f t="shared" si="1"/>
        <v>2.9999999999999997E-4</v>
      </c>
      <c r="I15" s="5">
        <f t="shared" si="1"/>
        <v>2.9999999999999997E-4</v>
      </c>
      <c r="J15" s="5">
        <f t="shared" si="1"/>
        <v>2.9999999999999997E-4</v>
      </c>
      <c r="K15" s="57"/>
      <c r="L15" s="50"/>
    </row>
    <row r="16" spans="2:12" x14ac:dyDescent="0.25">
      <c r="B16" s="3" t="str">
        <f>'TTC PD'!C14</f>
        <v>A-</v>
      </c>
      <c r="C16" s="39">
        <f>'TTC PD'!D14</f>
        <v>6.6E-3</v>
      </c>
      <c r="D16" s="4">
        <f t="shared" si="2"/>
        <v>0.20627084801183113</v>
      </c>
      <c r="E16" s="5">
        <f t="shared" si="3"/>
        <v>6.8917817677122128E-4</v>
      </c>
      <c r="F16" s="5">
        <f t="shared" si="1"/>
        <v>3.7879399109894319E-4</v>
      </c>
      <c r="G16" s="5">
        <f t="shared" si="1"/>
        <v>2.9999999999999997E-4</v>
      </c>
      <c r="H16" s="5">
        <f t="shared" si="1"/>
        <v>2.9999999999999997E-4</v>
      </c>
      <c r="I16" s="5">
        <f t="shared" si="1"/>
        <v>2.9999999999999997E-4</v>
      </c>
      <c r="J16" s="5">
        <f t="shared" si="1"/>
        <v>2.9999999999999997E-4</v>
      </c>
      <c r="K16" s="57"/>
      <c r="L16" s="50"/>
    </row>
    <row r="17" spans="2:12" x14ac:dyDescent="0.25">
      <c r="B17" s="3" t="str">
        <f>'TTC PD'!C15</f>
        <v>BBB+</v>
      </c>
      <c r="C17" s="39">
        <f>'TTC PD'!D15</f>
        <v>2.2100000000000002E-2</v>
      </c>
      <c r="D17" s="4">
        <f t="shared" si="2"/>
        <v>0.15974530586903773</v>
      </c>
      <c r="E17" s="5">
        <f t="shared" si="3"/>
        <v>5.353391981984092E-3</v>
      </c>
      <c r="F17" s="5">
        <f t="shared" si="1"/>
        <v>3.5045129904206582E-3</v>
      </c>
      <c r="G17" s="5">
        <f t="shared" si="1"/>
        <v>2.1673403439655728E-3</v>
      </c>
      <c r="H17" s="5">
        <f t="shared" si="1"/>
        <v>1.2239834512618849E-3</v>
      </c>
      <c r="I17" s="5">
        <f t="shared" si="1"/>
        <v>6.299917185925367E-4</v>
      </c>
      <c r="J17" s="5">
        <f t="shared" si="1"/>
        <v>2.9999999999999997E-4</v>
      </c>
      <c r="K17" s="57"/>
      <c r="L17" s="50"/>
    </row>
    <row r="18" spans="2:12" x14ac:dyDescent="0.25">
      <c r="B18" s="3" t="str">
        <f>'TTC PD'!C16</f>
        <v>BBB</v>
      </c>
      <c r="C18" s="39">
        <f>'TTC PD'!D16</f>
        <v>2.2100000000000002E-2</v>
      </c>
      <c r="D18" s="4">
        <f t="shared" si="2"/>
        <v>0.15974530586903773</v>
      </c>
      <c r="E18" s="5">
        <f t="shared" si="3"/>
        <v>5.353391981984092E-3</v>
      </c>
      <c r="F18" s="5">
        <f t="shared" si="1"/>
        <v>3.5045129904206582E-3</v>
      </c>
      <c r="G18" s="5">
        <f t="shared" si="1"/>
        <v>2.1673403439655728E-3</v>
      </c>
      <c r="H18" s="5">
        <f t="shared" si="1"/>
        <v>1.2239834512618849E-3</v>
      </c>
      <c r="I18" s="5">
        <f t="shared" si="1"/>
        <v>6.299917185925367E-4</v>
      </c>
      <c r="J18" s="5">
        <f t="shared" si="1"/>
        <v>2.9999999999999997E-4</v>
      </c>
      <c r="K18" s="57"/>
      <c r="L18" s="50"/>
    </row>
    <row r="19" spans="2:12" x14ac:dyDescent="0.25">
      <c r="B19" s="3" t="str">
        <f>'TTC PD'!C17</f>
        <v>BBB-</v>
      </c>
      <c r="C19" s="39">
        <f>'TTC PD'!D17</f>
        <v>2.2100000000000002E-2</v>
      </c>
      <c r="D19" s="4">
        <f t="shared" si="2"/>
        <v>0.15974530586903773</v>
      </c>
      <c r="E19" s="5">
        <f t="shared" si="3"/>
        <v>5.353391981984092E-3</v>
      </c>
      <c r="F19" s="5">
        <f t="shared" si="1"/>
        <v>3.5045129904206582E-3</v>
      </c>
      <c r="G19" s="5">
        <f t="shared" si="1"/>
        <v>2.1673403439655728E-3</v>
      </c>
      <c r="H19" s="5">
        <f t="shared" si="1"/>
        <v>1.2239834512618849E-3</v>
      </c>
      <c r="I19" s="5">
        <f t="shared" si="1"/>
        <v>6.299917185925367E-4</v>
      </c>
      <c r="J19" s="5">
        <f t="shared" si="1"/>
        <v>2.9999999999999997E-4</v>
      </c>
      <c r="K19" s="57"/>
      <c r="L19" s="50"/>
    </row>
    <row r="20" spans="2:12" x14ac:dyDescent="0.25">
      <c r="B20" s="3" t="str">
        <f>'TTC PD'!C18</f>
        <v>BB+</v>
      </c>
      <c r="C20" s="39">
        <f>'TTC PD'!D18</f>
        <v>9.9199999999999997E-2</v>
      </c>
      <c r="D20" s="4">
        <f t="shared" si="2"/>
        <v>0.12084155133991026</v>
      </c>
      <c r="E20" s="5">
        <f t="shared" si="3"/>
        <v>4.6947092764950078E-2</v>
      </c>
      <c r="F20" s="5">
        <f t="shared" si="1"/>
        <v>3.6097097033416813E-2</v>
      </c>
      <c r="G20" s="5">
        <f t="shared" si="1"/>
        <v>2.6754164492116268E-2</v>
      </c>
      <c r="H20" s="5">
        <f t="shared" si="1"/>
        <v>1.8704154324256879E-2</v>
      </c>
      <c r="I20" s="5">
        <f t="shared" si="1"/>
        <v>1.2310709056921833E-2</v>
      </c>
      <c r="J20" s="5">
        <f t="shared" si="1"/>
        <v>7.4718577238295104E-3</v>
      </c>
      <c r="K20" s="57"/>
      <c r="L20" s="50"/>
    </row>
    <row r="21" spans="2:12" x14ac:dyDescent="0.25">
      <c r="B21" s="3" t="str">
        <f>'TTC PD'!C19</f>
        <v>Unrated</v>
      </c>
      <c r="C21" s="39">
        <f>'TTC PD'!D19</f>
        <v>9.9199999999999997E-2</v>
      </c>
      <c r="D21" s="4">
        <f t="shared" si="2"/>
        <v>0.12084155133991026</v>
      </c>
      <c r="E21" s="5">
        <f t="shared" si="3"/>
        <v>4.6947092764950078E-2</v>
      </c>
      <c r="F21" s="5">
        <f t="shared" si="1"/>
        <v>3.6097097033416813E-2</v>
      </c>
      <c r="G21" s="5">
        <f t="shared" si="1"/>
        <v>2.6754164492116268E-2</v>
      </c>
      <c r="H21" s="5">
        <f t="shared" si="1"/>
        <v>1.8704154324256879E-2</v>
      </c>
      <c r="I21" s="5">
        <f t="shared" si="1"/>
        <v>1.2310709056921833E-2</v>
      </c>
      <c r="J21" s="5">
        <f t="shared" si="1"/>
        <v>7.4718577238295104E-3</v>
      </c>
      <c r="K21" s="57"/>
      <c r="L21" s="50"/>
    </row>
    <row r="23" spans="2:12" x14ac:dyDescent="0.25">
      <c r="B23" s="46" t="s">
        <v>19</v>
      </c>
      <c r="C23" s="28"/>
      <c r="D23" s="28"/>
      <c r="E23" s="28">
        <v>2026</v>
      </c>
      <c r="F23" s="28">
        <f t="shared" ref="F23:J23" si="4">E23+1</f>
        <v>2027</v>
      </c>
      <c r="G23" s="28">
        <f t="shared" si="4"/>
        <v>2028</v>
      </c>
      <c r="H23" s="28">
        <f t="shared" si="4"/>
        <v>2029</v>
      </c>
      <c r="I23" s="28">
        <f t="shared" si="4"/>
        <v>2030</v>
      </c>
      <c r="J23" s="28">
        <f t="shared" si="4"/>
        <v>2031</v>
      </c>
      <c r="K23" s="61"/>
    </row>
    <row r="24" spans="2:12" x14ac:dyDescent="0.25">
      <c r="B24" s="46" t="s">
        <v>25</v>
      </c>
      <c r="C24" s="28" t="s">
        <v>26</v>
      </c>
      <c r="D24" s="27" t="s">
        <v>27</v>
      </c>
      <c r="E24" s="56">
        <f>'MEV Scenario'!H16</f>
        <v>0.90059239644732059</v>
      </c>
      <c r="F24" s="56">
        <f>'MEV Scenario'!I16</f>
        <v>1.2646064451050023</v>
      </c>
      <c r="G24" s="56">
        <f>'MEV Scenario'!J16</f>
        <v>1.6589333901109447</v>
      </c>
      <c r="H24" s="56">
        <f>'MEV Scenario'!K16</f>
        <v>2.1054202765216576</v>
      </c>
      <c r="I24" s="56">
        <f>'MEV Scenario'!L16</f>
        <v>2.5979771529324687</v>
      </c>
      <c r="J24" s="56">
        <f>'MEV Scenario'!M16</f>
        <v>3.1511719269351817</v>
      </c>
      <c r="K24" s="58"/>
    </row>
    <row r="25" spans="2:12" x14ac:dyDescent="0.25">
      <c r="B25" s="29" t="str">
        <f>B10</f>
        <v>AAA</v>
      </c>
      <c r="C25" s="42">
        <f>C10</f>
        <v>2.9999999999999997E-4</v>
      </c>
      <c r="D25" s="55">
        <f>(0.12*(1-EXP(-50*C25))/(1-EXP(-50)))+0.24*(1-(1-EXP(-50*C25))/(1-EXP(-50)))</f>
        <v>0.2382134327523675</v>
      </c>
      <c r="E25" s="51">
        <f>IFERROR(
   IF( NORMSDIST((NORMSINV($C25)-SQRT($D25)*E$24)/SQRT(1-$D25))&lt;0.03%,
       0.03%,
       NORMSDIST((NORMSINV($C25)-SQRT($D25)*E$24)/SQRT(1-$D25))
   ),
   0.03%
)</f>
        <v>2.9999999999999997E-4</v>
      </c>
      <c r="F25" s="51">
        <f t="shared" ref="F25:J36" si="5">IFERROR(
   IF( NORMSDIST((NORMSINV($C25)-SQRT($D25)*F$24)/SQRT(1-$D25))&lt;0.03%,
       0.03%,
       NORMSDIST((NORMSINV($C25)-SQRT($D25)*F$24)/SQRT(1-$D25))
   ),
   0.03%
)</f>
        <v>2.9999999999999997E-4</v>
      </c>
      <c r="G25" s="51">
        <f t="shared" si="5"/>
        <v>2.9999999999999997E-4</v>
      </c>
      <c r="H25" s="51">
        <f t="shared" si="5"/>
        <v>2.9999999999999997E-4</v>
      </c>
      <c r="I25" s="51">
        <f t="shared" si="5"/>
        <v>2.9999999999999997E-4</v>
      </c>
      <c r="J25" s="51">
        <f t="shared" si="5"/>
        <v>2.9999999999999997E-4</v>
      </c>
      <c r="K25" s="52"/>
    </row>
    <row r="26" spans="2:12" x14ac:dyDescent="0.25">
      <c r="B26" s="29" t="str">
        <f t="shared" ref="B26:C36" si="6">B11</f>
        <v>AA+</v>
      </c>
      <c r="C26" s="42">
        <f t="shared" si="6"/>
        <v>2.8999999999999998E-3</v>
      </c>
      <c r="D26" s="55">
        <f t="shared" ref="D26:D36" si="7">(0.12*(1-EXP(-50*C26))/(1-EXP(-50)))+0.24*(1-(1-EXP(-50*C26))/(1-EXP(-50)))</f>
        <v>0.22380267517328895</v>
      </c>
      <c r="E26" s="51">
        <f t="shared" ref="E26:E36" si="8">IFERROR(
   IF( NORMSDIST((NORMSINV($C26)-SQRT($D26)*E$24)/SQRT(1-$D26))&lt;0.03%,
       0.03%,
       NORMSDIST((NORMSINV($C26)-SQRT($D26)*E$24)/SQRT(1-$D26))
   ),
   0.03%
)</f>
        <v>2.9999999999999997E-4</v>
      </c>
      <c r="F26" s="51">
        <f t="shared" si="5"/>
        <v>2.9999999999999997E-4</v>
      </c>
      <c r="G26" s="51">
        <f t="shared" si="5"/>
        <v>2.9999999999999997E-4</v>
      </c>
      <c r="H26" s="51">
        <f t="shared" si="5"/>
        <v>2.9999999999999997E-4</v>
      </c>
      <c r="I26" s="51">
        <f t="shared" si="5"/>
        <v>2.9999999999999997E-4</v>
      </c>
      <c r="J26" s="51">
        <f t="shared" si="5"/>
        <v>2.9999999999999997E-4</v>
      </c>
      <c r="K26" s="52"/>
    </row>
    <row r="27" spans="2:12" x14ac:dyDescent="0.25">
      <c r="B27" s="29" t="str">
        <f t="shared" si="6"/>
        <v>AA</v>
      </c>
      <c r="C27" s="42">
        <f t="shared" si="6"/>
        <v>2.8999999999999998E-3</v>
      </c>
      <c r="D27" s="55">
        <f t="shared" si="7"/>
        <v>0.22380267517328895</v>
      </c>
      <c r="E27" s="51">
        <f t="shared" si="8"/>
        <v>2.9999999999999997E-4</v>
      </c>
      <c r="F27" s="51">
        <f t="shared" si="5"/>
        <v>2.9999999999999997E-4</v>
      </c>
      <c r="G27" s="51">
        <f t="shared" si="5"/>
        <v>2.9999999999999997E-4</v>
      </c>
      <c r="H27" s="51">
        <f t="shared" si="5"/>
        <v>2.9999999999999997E-4</v>
      </c>
      <c r="I27" s="51">
        <f t="shared" si="5"/>
        <v>2.9999999999999997E-4</v>
      </c>
      <c r="J27" s="51">
        <f t="shared" si="5"/>
        <v>2.9999999999999997E-4</v>
      </c>
      <c r="K27" s="52"/>
    </row>
    <row r="28" spans="2:12" x14ac:dyDescent="0.25">
      <c r="B28" s="29" t="str">
        <f t="shared" si="6"/>
        <v>AA-</v>
      </c>
      <c r="C28" s="42">
        <f t="shared" si="6"/>
        <v>2.8999999999999998E-3</v>
      </c>
      <c r="D28" s="55">
        <f t="shared" si="7"/>
        <v>0.22380267517328895</v>
      </c>
      <c r="E28" s="51">
        <f t="shared" si="8"/>
        <v>2.9999999999999997E-4</v>
      </c>
      <c r="F28" s="51">
        <f t="shared" si="5"/>
        <v>2.9999999999999997E-4</v>
      </c>
      <c r="G28" s="51">
        <f t="shared" si="5"/>
        <v>2.9999999999999997E-4</v>
      </c>
      <c r="H28" s="51">
        <f t="shared" si="5"/>
        <v>2.9999999999999997E-4</v>
      </c>
      <c r="I28" s="51">
        <f t="shared" si="5"/>
        <v>2.9999999999999997E-4</v>
      </c>
      <c r="J28" s="51">
        <f t="shared" si="5"/>
        <v>2.9999999999999997E-4</v>
      </c>
      <c r="K28" s="52"/>
    </row>
    <row r="29" spans="2:12" x14ac:dyDescent="0.25">
      <c r="B29" s="29" t="str">
        <f t="shared" si="6"/>
        <v>A+</v>
      </c>
      <c r="C29" s="42">
        <f t="shared" si="6"/>
        <v>6.6E-3</v>
      </c>
      <c r="D29" s="55">
        <f t="shared" si="7"/>
        <v>0.20627084801183113</v>
      </c>
      <c r="E29" s="51">
        <f t="shared" si="8"/>
        <v>5.9580224064648124E-4</v>
      </c>
      <c r="F29" s="51">
        <f t="shared" si="5"/>
        <v>3.0576408268756224E-4</v>
      </c>
      <c r="G29" s="51">
        <f t="shared" si="5"/>
        <v>2.9999999999999997E-4</v>
      </c>
      <c r="H29" s="51">
        <f t="shared" si="5"/>
        <v>2.9999999999999997E-4</v>
      </c>
      <c r="I29" s="51">
        <f t="shared" si="5"/>
        <v>2.9999999999999997E-4</v>
      </c>
      <c r="J29" s="51">
        <f t="shared" si="5"/>
        <v>2.9999999999999997E-4</v>
      </c>
      <c r="K29" s="52"/>
    </row>
    <row r="30" spans="2:12" x14ac:dyDescent="0.25">
      <c r="B30" s="29" t="str">
        <f t="shared" si="6"/>
        <v>A</v>
      </c>
      <c r="C30" s="42">
        <f t="shared" si="6"/>
        <v>6.6E-3</v>
      </c>
      <c r="D30" s="55">
        <f t="shared" si="7"/>
        <v>0.20627084801183113</v>
      </c>
      <c r="E30" s="51">
        <f t="shared" si="8"/>
        <v>5.9580224064648124E-4</v>
      </c>
      <c r="F30" s="51">
        <f t="shared" si="5"/>
        <v>3.0576408268756224E-4</v>
      </c>
      <c r="G30" s="51">
        <f t="shared" si="5"/>
        <v>2.9999999999999997E-4</v>
      </c>
      <c r="H30" s="51">
        <f t="shared" si="5"/>
        <v>2.9999999999999997E-4</v>
      </c>
      <c r="I30" s="51">
        <f t="shared" si="5"/>
        <v>2.9999999999999997E-4</v>
      </c>
      <c r="J30" s="51">
        <f t="shared" si="5"/>
        <v>2.9999999999999997E-4</v>
      </c>
      <c r="K30" s="52"/>
    </row>
    <row r="31" spans="2:12" x14ac:dyDescent="0.25">
      <c r="B31" s="29" t="str">
        <f t="shared" si="6"/>
        <v>A-</v>
      </c>
      <c r="C31" s="42">
        <f t="shared" si="6"/>
        <v>6.6E-3</v>
      </c>
      <c r="D31" s="55">
        <f t="shared" si="7"/>
        <v>0.20627084801183113</v>
      </c>
      <c r="E31" s="51">
        <f t="shared" si="8"/>
        <v>5.9580224064648124E-4</v>
      </c>
      <c r="F31" s="51">
        <f t="shared" si="5"/>
        <v>3.0576408268756224E-4</v>
      </c>
      <c r="G31" s="51">
        <f t="shared" si="5"/>
        <v>2.9999999999999997E-4</v>
      </c>
      <c r="H31" s="51">
        <f t="shared" si="5"/>
        <v>2.9999999999999997E-4</v>
      </c>
      <c r="I31" s="51">
        <f t="shared" si="5"/>
        <v>2.9999999999999997E-4</v>
      </c>
      <c r="J31" s="51">
        <f t="shared" si="5"/>
        <v>2.9999999999999997E-4</v>
      </c>
      <c r="K31" s="52"/>
    </row>
    <row r="32" spans="2:12" x14ac:dyDescent="0.25">
      <c r="B32" s="29" t="str">
        <f t="shared" si="6"/>
        <v>BBB+</v>
      </c>
      <c r="C32" s="42">
        <f t="shared" si="6"/>
        <v>2.2100000000000002E-2</v>
      </c>
      <c r="D32" s="55">
        <f t="shared" si="7"/>
        <v>0.15974530586903773</v>
      </c>
      <c r="E32" s="51">
        <f t="shared" si="8"/>
        <v>4.8292176848399029E-3</v>
      </c>
      <c r="F32" s="51">
        <f t="shared" si="5"/>
        <v>3.0113581299352371E-3</v>
      </c>
      <c r="G32" s="51">
        <f t="shared" si="5"/>
        <v>1.7587271109650111E-3</v>
      </c>
      <c r="H32" s="51">
        <f t="shared" si="5"/>
        <v>9.2549219877466565E-4</v>
      </c>
      <c r="I32" s="51">
        <f t="shared" si="5"/>
        <v>4.3748296238813375E-4</v>
      </c>
      <c r="J32" s="51">
        <f t="shared" si="5"/>
        <v>2.9999999999999997E-4</v>
      </c>
      <c r="K32" s="52"/>
    </row>
    <row r="33" spans="2:11" x14ac:dyDescent="0.25">
      <c r="B33" s="29" t="str">
        <f t="shared" si="6"/>
        <v>BBB</v>
      </c>
      <c r="C33" s="42">
        <f t="shared" si="6"/>
        <v>2.2100000000000002E-2</v>
      </c>
      <c r="D33" s="55">
        <f t="shared" si="7"/>
        <v>0.15974530586903773</v>
      </c>
      <c r="E33" s="51">
        <f t="shared" si="8"/>
        <v>4.8292176848399029E-3</v>
      </c>
      <c r="F33" s="51">
        <f t="shared" si="5"/>
        <v>3.0113581299352371E-3</v>
      </c>
      <c r="G33" s="51">
        <f t="shared" si="5"/>
        <v>1.7587271109650111E-3</v>
      </c>
      <c r="H33" s="51">
        <f t="shared" si="5"/>
        <v>9.2549219877466565E-4</v>
      </c>
      <c r="I33" s="51">
        <f t="shared" si="5"/>
        <v>4.3748296238813375E-4</v>
      </c>
      <c r="J33" s="51">
        <f t="shared" si="5"/>
        <v>2.9999999999999997E-4</v>
      </c>
      <c r="K33" s="52"/>
    </row>
    <row r="34" spans="2:11" x14ac:dyDescent="0.25">
      <c r="B34" s="29" t="str">
        <f t="shared" si="6"/>
        <v>BBB-</v>
      </c>
      <c r="C34" s="42">
        <f t="shared" si="6"/>
        <v>2.2100000000000002E-2</v>
      </c>
      <c r="D34" s="55">
        <f t="shared" si="7"/>
        <v>0.15974530586903773</v>
      </c>
      <c r="E34" s="51">
        <f t="shared" si="8"/>
        <v>4.8292176848399029E-3</v>
      </c>
      <c r="F34" s="51">
        <f t="shared" si="5"/>
        <v>3.0113581299352371E-3</v>
      </c>
      <c r="G34" s="51">
        <f t="shared" si="5"/>
        <v>1.7587271109650111E-3</v>
      </c>
      <c r="H34" s="51">
        <f t="shared" si="5"/>
        <v>9.2549219877466565E-4</v>
      </c>
      <c r="I34" s="51">
        <f t="shared" si="5"/>
        <v>4.3748296238813375E-4</v>
      </c>
      <c r="J34" s="51">
        <f t="shared" si="5"/>
        <v>2.9999999999999997E-4</v>
      </c>
      <c r="K34" s="52"/>
    </row>
    <row r="35" spans="2:11" x14ac:dyDescent="0.25">
      <c r="B35" s="29" t="str">
        <f t="shared" si="6"/>
        <v>BB+</v>
      </c>
      <c r="C35" s="42">
        <f t="shared" si="6"/>
        <v>9.9199999999999997E-2</v>
      </c>
      <c r="D35" s="55">
        <f t="shared" si="7"/>
        <v>0.12084155133991026</v>
      </c>
      <c r="E35" s="51">
        <f t="shared" si="8"/>
        <v>4.4045226919063624E-2</v>
      </c>
      <c r="F35" s="51">
        <f t="shared" si="5"/>
        <v>3.2846412921582704E-2</v>
      </c>
      <c r="G35" s="51">
        <f t="shared" si="5"/>
        <v>2.3477360563597623E-2</v>
      </c>
      <c r="H35" s="51">
        <f t="shared" si="5"/>
        <v>1.5689193144473965E-2</v>
      </c>
      <c r="I35" s="51">
        <f t="shared" si="5"/>
        <v>9.7755353846107271E-3</v>
      </c>
      <c r="J35" s="51">
        <f t="shared" si="5"/>
        <v>5.5434565211394532E-3</v>
      </c>
      <c r="K35" s="52"/>
    </row>
    <row r="36" spans="2:11" x14ac:dyDescent="0.25">
      <c r="B36" s="29" t="str">
        <f t="shared" si="6"/>
        <v>Unrated</v>
      </c>
      <c r="C36" s="42">
        <f t="shared" si="6"/>
        <v>9.9199999999999997E-2</v>
      </c>
      <c r="D36" s="55">
        <f t="shared" si="7"/>
        <v>0.12084155133991026</v>
      </c>
      <c r="E36" s="51">
        <f t="shared" si="8"/>
        <v>4.4045226919063624E-2</v>
      </c>
      <c r="F36" s="51">
        <f t="shared" si="5"/>
        <v>3.2846412921582704E-2</v>
      </c>
      <c r="G36" s="51">
        <f t="shared" si="5"/>
        <v>2.3477360563597623E-2</v>
      </c>
      <c r="H36" s="51">
        <f t="shared" si="5"/>
        <v>1.5689193144473965E-2</v>
      </c>
      <c r="I36" s="51">
        <f t="shared" si="5"/>
        <v>9.7755353846107271E-3</v>
      </c>
      <c r="J36" s="51">
        <f t="shared" si="5"/>
        <v>5.5434565211394532E-3</v>
      </c>
      <c r="K36" s="52"/>
    </row>
    <row r="39" spans="2:11" x14ac:dyDescent="0.25">
      <c r="B39" s="47" t="s">
        <v>20</v>
      </c>
      <c r="C39" s="32"/>
      <c r="D39" s="32"/>
      <c r="E39" s="32">
        <v>2026</v>
      </c>
      <c r="F39" s="32">
        <f t="shared" ref="F39:J39" si="9">E39+1</f>
        <v>2027</v>
      </c>
      <c r="G39" s="32">
        <f t="shared" si="9"/>
        <v>2028</v>
      </c>
      <c r="H39" s="32">
        <f t="shared" si="9"/>
        <v>2029</v>
      </c>
      <c r="I39" s="32">
        <f t="shared" si="9"/>
        <v>2030</v>
      </c>
      <c r="J39" s="32">
        <f t="shared" si="9"/>
        <v>2031</v>
      </c>
      <c r="K39" s="61"/>
    </row>
    <row r="40" spans="2:11" x14ac:dyDescent="0.25">
      <c r="B40" s="47" t="s">
        <v>25</v>
      </c>
      <c r="C40" s="32" t="s">
        <v>26</v>
      </c>
      <c r="D40" s="32" t="s">
        <v>27</v>
      </c>
      <c r="E40" s="40">
        <f>'MEV Scenario'!H21</f>
        <v>0.73684832436598946</v>
      </c>
      <c r="F40" s="40">
        <f>'MEV Scenario'!I21</f>
        <v>1.0346780005404563</v>
      </c>
      <c r="G40" s="40">
        <f>'MEV Scenario'!J21</f>
        <v>1.3573091373635002</v>
      </c>
      <c r="H40" s="40">
        <f>'MEV Scenario'!K21</f>
        <v>1.7226165898813561</v>
      </c>
      <c r="I40" s="40">
        <f>'MEV Scenario'!L21</f>
        <v>2.1256176705811107</v>
      </c>
      <c r="J40" s="40">
        <f>'MEV Scenario'!M21</f>
        <v>2.5782315765833306</v>
      </c>
      <c r="K40" s="58"/>
    </row>
    <row r="41" spans="2:11" x14ac:dyDescent="0.25">
      <c r="B41" s="33" t="str">
        <f>B25</f>
        <v>AAA</v>
      </c>
      <c r="C41" s="41">
        <f>C10</f>
        <v>2.9999999999999997E-4</v>
      </c>
      <c r="D41" s="54">
        <f>(0.12*(1-EXP(-50*C41))/(1-EXP(-50)))+0.24*(1-(1-EXP(-50*C41))/(1-EXP(-50)))</f>
        <v>0.2382134327523675</v>
      </c>
      <c r="E41" s="41">
        <f>IFERROR(
   IF( NORMSDIST((NORMSINV($C41)-SQRT($D41)*E$40)/SQRT(1-$D41))&lt;0.03%,
       0.03%,
       NORMSDIST((NORMSINV($C41)-SQRT($D41)*E$40)/SQRT(1-$D41))
   ),
   0.03%
)</f>
        <v>2.9999999999999997E-4</v>
      </c>
      <c r="F41" s="41">
        <f t="shared" ref="F41:J52" si="10">IFERROR(
   IF( NORMSDIST((NORMSINV($C41)-SQRT($D41)*F$40)/SQRT(1-$D41))&lt;0.03%,
       0.03%,
       NORMSDIST((NORMSINV($C41)-SQRT($D41)*F$40)/SQRT(1-$D41))
   ),
   0.03%
)</f>
        <v>2.9999999999999997E-4</v>
      </c>
      <c r="G41" s="41">
        <f t="shared" si="10"/>
        <v>2.9999999999999997E-4</v>
      </c>
      <c r="H41" s="41">
        <f t="shared" si="10"/>
        <v>2.9999999999999997E-4</v>
      </c>
      <c r="I41" s="41">
        <f t="shared" si="10"/>
        <v>2.9999999999999997E-4</v>
      </c>
      <c r="J41" s="41">
        <f t="shared" si="10"/>
        <v>2.9999999999999997E-4</v>
      </c>
      <c r="K41" s="52"/>
    </row>
    <row r="42" spans="2:11" x14ac:dyDescent="0.25">
      <c r="B42" s="33" t="str">
        <f t="shared" ref="B42:B52" si="11">B26</f>
        <v>AA+</v>
      </c>
      <c r="C42" s="41">
        <f t="shared" ref="C42:C52" si="12">C11</f>
        <v>2.8999999999999998E-3</v>
      </c>
      <c r="D42" s="54">
        <f t="shared" ref="D42:D52" si="13">(0.12*(1-EXP(-50*C42))/(1-EXP(-50)))+0.24*(1-(1-EXP(-50*C42))/(1-EXP(-50)))</f>
        <v>0.22380267517328895</v>
      </c>
      <c r="E42" s="41">
        <f t="shared" ref="E42:E52" si="14">IFERROR(
   IF( NORMSDIST((NORMSINV($C42)-SQRT($D42)*E$40)/SQRT(1-$D42))&lt;0.03%,
       0.03%,
       NORMSDIST((NORMSINV($C42)-SQRT($D42)*E$40)/SQRT(1-$D42))
   ),
   0.03%
)</f>
        <v>2.9999999999999997E-4</v>
      </c>
      <c r="F42" s="41">
        <f t="shared" si="10"/>
        <v>2.9999999999999997E-4</v>
      </c>
      <c r="G42" s="41">
        <f t="shared" si="10"/>
        <v>2.9999999999999997E-4</v>
      </c>
      <c r="H42" s="41">
        <f t="shared" si="10"/>
        <v>2.9999999999999997E-4</v>
      </c>
      <c r="I42" s="41">
        <f t="shared" si="10"/>
        <v>2.9999999999999997E-4</v>
      </c>
      <c r="J42" s="41">
        <f t="shared" si="10"/>
        <v>2.9999999999999997E-4</v>
      </c>
      <c r="K42" s="52"/>
    </row>
    <row r="43" spans="2:11" x14ac:dyDescent="0.25">
      <c r="B43" s="33" t="str">
        <f t="shared" si="11"/>
        <v>AA</v>
      </c>
      <c r="C43" s="41">
        <f t="shared" si="12"/>
        <v>2.8999999999999998E-3</v>
      </c>
      <c r="D43" s="54">
        <f t="shared" si="13"/>
        <v>0.22380267517328895</v>
      </c>
      <c r="E43" s="41">
        <f t="shared" si="14"/>
        <v>2.9999999999999997E-4</v>
      </c>
      <c r="F43" s="41">
        <f t="shared" si="10"/>
        <v>2.9999999999999997E-4</v>
      </c>
      <c r="G43" s="41">
        <f t="shared" si="10"/>
        <v>2.9999999999999997E-4</v>
      </c>
      <c r="H43" s="41">
        <f t="shared" si="10"/>
        <v>2.9999999999999997E-4</v>
      </c>
      <c r="I43" s="41">
        <f t="shared" si="10"/>
        <v>2.9999999999999997E-4</v>
      </c>
      <c r="J43" s="41">
        <f t="shared" si="10"/>
        <v>2.9999999999999997E-4</v>
      </c>
      <c r="K43" s="52"/>
    </row>
    <row r="44" spans="2:11" x14ac:dyDescent="0.25">
      <c r="B44" s="33" t="str">
        <f t="shared" si="11"/>
        <v>AA-</v>
      </c>
      <c r="C44" s="41">
        <f t="shared" si="12"/>
        <v>2.8999999999999998E-3</v>
      </c>
      <c r="D44" s="54">
        <f t="shared" si="13"/>
        <v>0.22380267517328895</v>
      </c>
      <c r="E44" s="41">
        <f t="shared" si="14"/>
        <v>2.9999999999999997E-4</v>
      </c>
      <c r="F44" s="41">
        <f t="shared" si="10"/>
        <v>2.9999999999999997E-4</v>
      </c>
      <c r="G44" s="41">
        <f t="shared" si="10"/>
        <v>2.9999999999999997E-4</v>
      </c>
      <c r="H44" s="41">
        <f t="shared" si="10"/>
        <v>2.9999999999999997E-4</v>
      </c>
      <c r="I44" s="41">
        <f t="shared" si="10"/>
        <v>2.9999999999999997E-4</v>
      </c>
      <c r="J44" s="41">
        <f t="shared" si="10"/>
        <v>2.9999999999999997E-4</v>
      </c>
      <c r="K44" s="52"/>
    </row>
    <row r="45" spans="2:11" x14ac:dyDescent="0.25">
      <c r="B45" s="33" t="str">
        <f t="shared" si="11"/>
        <v>A+</v>
      </c>
      <c r="C45" s="41">
        <f t="shared" si="12"/>
        <v>6.6E-3</v>
      </c>
      <c r="D45" s="54">
        <f t="shared" si="13"/>
        <v>0.20627084801183113</v>
      </c>
      <c r="E45" s="41">
        <f t="shared" si="14"/>
        <v>7.9589044603754625E-4</v>
      </c>
      <c r="F45" s="41">
        <f t="shared" si="10"/>
        <v>4.6775426773040465E-4</v>
      </c>
      <c r="G45" s="41">
        <f t="shared" si="10"/>
        <v>2.9999999999999997E-4</v>
      </c>
      <c r="H45" s="41">
        <f t="shared" si="10"/>
        <v>2.9999999999999997E-4</v>
      </c>
      <c r="I45" s="41">
        <f t="shared" si="10"/>
        <v>2.9999999999999997E-4</v>
      </c>
      <c r="J45" s="41">
        <f t="shared" si="10"/>
        <v>2.9999999999999997E-4</v>
      </c>
      <c r="K45" s="52"/>
    </row>
    <row r="46" spans="2:11" x14ac:dyDescent="0.25">
      <c r="B46" s="33" t="str">
        <f t="shared" si="11"/>
        <v>A</v>
      </c>
      <c r="C46" s="41">
        <f t="shared" si="12"/>
        <v>6.6E-3</v>
      </c>
      <c r="D46" s="54">
        <f t="shared" si="13"/>
        <v>0.20627084801183113</v>
      </c>
      <c r="E46" s="41">
        <f t="shared" si="14"/>
        <v>7.9589044603754625E-4</v>
      </c>
      <c r="F46" s="41">
        <f t="shared" si="10"/>
        <v>4.6775426773040465E-4</v>
      </c>
      <c r="G46" s="41">
        <f t="shared" si="10"/>
        <v>2.9999999999999997E-4</v>
      </c>
      <c r="H46" s="41">
        <f t="shared" si="10"/>
        <v>2.9999999999999997E-4</v>
      </c>
      <c r="I46" s="41">
        <f t="shared" si="10"/>
        <v>2.9999999999999997E-4</v>
      </c>
      <c r="J46" s="41">
        <f t="shared" si="10"/>
        <v>2.9999999999999997E-4</v>
      </c>
      <c r="K46" s="52"/>
    </row>
    <row r="47" spans="2:11" x14ac:dyDescent="0.25">
      <c r="B47" s="33" t="str">
        <f t="shared" si="11"/>
        <v>A-</v>
      </c>
      <c r="C47" s="41">
        <f t="shared" si="12"/>
        <v>6.6E-3</v>
      </c>
      <c r="D47" s="54">
        <f t="shared" si="13"/>
        <v>0.20627084801183113</v>
      </c>
      <c r="E47" s="41">
        <f t="shared" si="14"/>
        <v>7.9589044603754625E-4</v>
      </c>
      <c r="F47" s="41">
        <f t="shared" si="10"/>
        <v>4.6775426773040465E-4</v>
      </c>
      <c r="G47" s="41">
        <f t="shared" si="10"/>
        <v>2.9999999999999997E-4</v>
      </c>
      <c r="H47" s="41">
        <f t="shared" si="10"/>
        <v>2.9999999999999997E-4</v>
      </c>
      <c r="I47" s="41">
        <f t="shared" si="10"/>
        <v>2.9999999999999997E-4</v>
      </c>
      <c r="J47" s="41">
        <f t="shared" si="10"/>
        <v>2.9999999999999997E-4</v>
      </c>
      <c r="K47" s="52"/>
    </row>
    <row r="48" spans="2:11" x14ac:dyDescent="0.25">
      <c r="B48" s="33" t="str">
        <f t="shared" si="11"/>
        <v>BBB+</v>
      </c>
      <c r="C48" s="41">
        <f t="shared" si="12"/>
        <v>2.2100000000000002E-2</v>
      </c>
      <c r="D48" s="54">
        <f t="shared" si="13"/>
        <v>0.15974530586903773</v>
      </c>
      <c r="E48" s="41">
        <f t="shared" si="14"/>
        <v>5.9275590606655366E-3</v>
      </c>
      <c r="F48" s="41">
        <f t="shared" si="10"/>
        <v>4.0690229456724009E-3</v>
      </c>
      <c r="G48" s="41">
        <f t="shared" si="10"/>
        <v>2.660231838771912E-3</v>
      </c>
      <c r="H48" s="41">
        <f t="shared" si="10"/>
        <v>1.6082894264833447E-3</v>
      </c>
      <c r="I48" s="41">
        <f t="shared" si="10"/>
        <v>8.9825047074257845E-4</v>
      </c>
      <c r="J48" s="41">
        <f t="shared" si="10"/>
        <v>4.5119812175720006E-4</v>
      </c>
      <c r="K48" s="52"/>
    </row>
    <row r="49" spans="2:11" x14ac:dyDescent="0.25">
      <c r="B49" s="33" t="str">
        <f t="shared" si="11"/>
        <v>BBB</v>
      </c>
      <c r="C49" s="41">
        <f t="shared" si="12"/>
        <v>2.2100000000000002E-2</v>
      </c>
      <c r="D49" s="54">
        <f t="shared" si="13"/>
        <v>0.15974530586903773</v>
      </c>
      <c r="E49" s="41">
        <f t="shared" si="14"/>
        <v>5.9275590606655366E-3</v>
      </c>
      <c r="F49" s="41">
        <f t="shared" si="10"/>
        <v>4.0690229456724009E-3</v>
      </c>
      <c r="G49" s="41">
        <f t="shared" si="10"/>
        <v>2.660231838771912E-3</v>
      </c>
      <c r="H49" s="41">
        <f t="shared" si="10"/>
        <v>1.6082894264833447E-3</v>
      </c>
      <c r="I49" s="41">
        <f t="shared" si="10"/>
        <v>8.9825047074257845E-4</v>
      </c>
      <c r="J49" s="41">
        <f t="shared" si="10"/>
        <v>4.5119812175720006E-4</v>
      </c>
      <c r="K49" s="52"/>
    </row>
    <row r="50" spans="2:11" x14ac:dyDescent="0.25">
      <c r="B50" s="33" t="str">
        <f t="shared" si="11"/>
        <v>BBB-</v>
      </c>
      <c r="C50" s="41">
        <f t="shared" si="12"/>
        <v>2.2100000000000002E-2</v>
      </c>
      <c r="D50" s="54">
        <f t="shared" si="13"/>
        <v>0.15974530586903773</v>
      </c>
      <c r="E50" s="41">
        <f t="shared" si="14"/>
        <v>5.9275590606655366E-3</v>
      </c>
      <c r="F50" s="41">
        <f t="shared" si="10"/>
        <v>4.0690229456724009E-3</v>
      </c>
      <c r="G50" s="41">
        <f t="shared" si="10"/>
        <v>2.660231838771912E-3</v>
      </c>
      <c r="H50" s="41">
        <f t="shared" si="10"/>
        <v>1.6082894264833447E-3</v>
      </c>
      <c r="I50" s="41">
        <f t="shared" si="10"/>
        <v>8.9825047074257845E-4</v>
      </c>
      <c r="J50" s="41">
        <f t="shared" si="10"/>
        <v>4.5119812175720006E-4</v>
      </c>
      <c r="K50" s="52"/>
    </row>
    <row r="51" spans="2:11" x14ac:dyDescent="0.25">
      <c r="B51" s="33" t="str">
        <f t="shared" si="11"/>
        <v>BB+</v>
      </c>
      <c r="C51" s="41">
        <f t="shared" si="12"/>
        <v>9.9199999999999997E-2</v>
      </c>
      <c r="D51" s="54">
        <f t="shared" si="13"/>
        <v>0.12084155133991026</v>
      </c>
      <c r="E51" s="41">
        <f t="shared" si="14"/>
        <v>5.0000318019349135E-2</v>
      </c>
      <c r="F51" s="41">
        <f t="shared" si="10"/>
        <v>3.9606634362708122E-2</v>
      </c>
      <c r="G51" s="41">
        <f t="shared" si="10"/>
        <v>3.0404417593930567E-2</v>
      </c>
      <c r="H51" s="41">
        <f t="shared" si="10"/>
        <v>2.2198740731742595E-2</v>
      </c>
      <c r="I51" s="41">
        <f t="shared" si="10"/>
        <v>1.5396828771799275E-2</v>
      </c>
      <c r="J51" s="41">
        <f t="shared" si="10"/>
        <v>9.9684567255840916E-3</v>
      </c>
      <c r="K51" s="52"/>
    </row>
    <row r="52" spans="2:11" x14ac:dyDescent="0.25">
      <c r="B52" s="33" t="str">
        <f t="shared" si="11"/>
        <v>Unrated</v>
      </c>
      <c r="C52" s="41">
        <f t="shared" si="12"/>
        <v>9.9199999999999997E-2</v>
      </c>
      <c r="D52" s="54">
        <f t="shared" si="13"/>
        <v>0.12084155133991026</v>
      </c>
      <c r="E52" s="41">
        <f t="shared" si="14"/>
        <v>5.0000318019349135E-2</v>
      </c>
      <c r="F52" s="41">
        <f t="shared" si="10"/>
        <v>3.9606634362708122E-2</v>
      </c>
      <c r="G52" s="41">
        <f t="shared" si="10"/>
        <v>3.0404417593930567E-2</v>
      </c>
      <c r="H52" s="41">
        <f t="shared" si="10"/>
        <v>2.2198740731742595E-2</v>
      </c>
      <c r="I52" s="41">
        <f t="shared" si="10"/>
        <v>1.5396828771799275E-2</v>
      </c>
      <c r="J52" s="41">
        <f t="shared" si="10"/>
        <v>9.9684567255840916E-3</v>
      </c>
      <c r="K52" s="52"/>
    </row>
  </sheetData>
  <mergeCells count="1">
    <mergeCell ref="B6:J6"/>
  </mergeCells>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A32687-27BB-48CE-901B-A7E65AC8A708}">
  <dimension ref="B5:AA60"/>
  <sheetViews>
    <sheetView showGridLines="0" topLeftCell="A6" zoomScale="107" workbookViewId="0"/>
  </sheetViews>
  <sheetFormatPr defaultRowHeight="15" x14ac:dyDescent="0.25"/>
  <cols>
    <col min="2" max="2" width="19.85546875" customWidth="1"/>
    <col min="4" max="4" width="10" customWidth="1"/>
    <col min="5" max="9" width="10.5703125" bestFit="1" customWidth="1"/>
    <col min="11" max="11" width="19.85546875" customWidth="1"/>
    <col min="20" max="20" width="19.85546875" customWidth="1"/>
  </cols>
  <sheetData>
    <row r="5" spans="2:27" ht="15.75" thickBot="1" x14ac:dyDescent="0.3"/>
    <row r="6" spans="2:27" ht="16.5" thickTop="1" thickBot="1" x14ac:dyDescent="0.3">
      <c r="B6" s="120" t="s">
        <v>78</v>
      </c>
      <c r="C6" s="121"/>
      <c r="D6" s="121"/>
      <c r="E6" s="121"/>
      <c r="F6" s="121"/>
      <c r="G6" s="121"/>
      <c r="H6" s="121"/>
      <c r="I6" s="121"/>
    </row>
    <row r="7" spans="2:27" ht="15.75" thickTop="1" x14ac:dyDescent="0.25"/>
    <row r="8" spans="2:27" x14ac:dyDescent="0.25">
      <c r="B8" s="25" t="s">
        <v>18</v>
      </c>
      <c r="C8" s="61"/>
      <c r="K8" s="70" t="s">
        <v>19</v>
      </c>
      <c r="L8" s="61"/>
      <c r="T8" s="32" t="s">
        <v>20</v>
      </c>
      <c r="U8" s="61"/>
    </row>
    <row r="9" spans="2:27" x14ac:dyDescent="0.25">
      <c r="B9" s="2" t="s">
        <v>25</v>
      </c>
      <c r="C9" s="2" t="s">
        <v>26</v>
      </c>
      <c r="D9" s="2">
        <v>2026</v>
      </c>
      <c r="E9" s="2">
        <f t="shared" ref="E9:I9" si="0">D9+1</f>
        <v>2027</v>
      </c>
      <c r="F9" s="2">
        <f t="shared" si="0"/>
        <v>2028</v>
      </c>
      <c r="G9" s="2">
        <f t="shared" si="0"/>
        <v>2029</v>
      </c>
      <c r="H9" s="2">
        <f t="shared" si="0"/>
        <v>2030</v>
      </c>
      <c r="I9" s="2">
        <f t="shared" si="0"/>
        <v>2031</v>
      </c>
      <c r="K9" s="28" t="s">
        <v>25</v>
      </c>
      <c r="L9" s="71" t="s">
        <v>26</v>
      </c>
      <c r="M9" s="28">
        <v>2026</v>
      </c>
      <c r="N9" s="28">
        <f t="shared" ref="N9:R9" si="1">M9+1</f>
        <v>2027</v>
      </c>
      <c r="O9" s="28">
        <f t="shared" si="1"/>
        <v>2028</v>
      </c>
      <c r="P9" s="28">
        <f t="shared" si="1"/>
        <v>2029</v>
      </c>
      <c r="Q9" s="28">
        <f t="shared" si="1"/>
        <v>2030</v>
      </c>
      <c r="R9" s="28">
        <f t="shared" si="1"/>
        <v>2031</v>
      </c>
      <c r="T9" s="32" t="s">
        <v>25</v>
      </c>
      <c r="U9" s="32" t="s">
        <v>26</v>
      </c>
      <c r="V9" s="32">
        <v>2026</v>
      </c>
      <c r="W9" s="32">
        <f t="shared" ref="W9:AA9" si="2">V9+1</f>
        <v>2027</v>
      </c>
      <c r="X9" s="32">
        <f t="shared" si="2"/>
        <v>2028</v>
      </c>
      <c r="Y9" s="32">
        <f t="shared" si="2"/>
        <v>2029</v>
      </c>
      <c r="Z9" s="32">
        <f t="shared" si="2"/>
        <v>2030</v>
      </c>
      <c r="AA9" s="32">
        <f t="shared" si="2"/>
        <v>2031</v>
      </c>
    </row>
    <row r="10" spans="2:27" x14ac:dyDescent="0.25">
      <c r="B10" s="3" t="str">
        <f>Vasicek!B10</f>
        <v>AAA</v>
      </c>
      <c r="C10" s="39">
        <f>Vasicek!C10</f>
        <v>2.9999999999999997E-4</v>
      </c>
      <c r="D10" s="5">
        <f>Vasicek!E10</f>
        <v>2.9999999999999997E-4</v>
      </c>
      <c r="E10" s="5">
        <f>Vasicek!F10</f>
        <v>2.9999999999999997E-4</v>
      </c>
      <c r="F10" s="5">
        <f>Vasicek!G10</f>
        <v>2.9999999999999997E-4</v>
      </c>
      <c r="G10" s="5">
        <f>Vasicek!H10</f>
        <v>2.9999999999999997E-4</v>
      </c>
      <c r="H10" s="5">
        <f>Vasicek!I10</f>
        <v>2.9999999999999997E-4</v>
      </c>
      <c r="I10" s="5">
        <f>Vasicek!J10</f>
        <v>2.9999999999999997E-4</v>
      </c>
      <c r="K10" s="29" t="str">
        <f>B10</f>
        <v>AAA</v>
      </c>
      <c r="L10" s="72">
        <f>C10</f>
        <v>2.9999999999999997E-4</v>
      </c>
      <c r="M10" s="73">
        <f>Vasicek!E25</f>
        <v>2.9999999999999997E-4</v>
      </c>
      <c r="N10" s="73">
        <f>Vasicek!F25</f>
        <v>2.9999999999999997E-4</v>
      </c>
      <c r="O10" s="73">
        <f>Vasicek!G25</f>
        <v>2.9999999999999997E-4</v>
      </c>
      <c r="P10" s="73">
        <f>Vasicek!H25</f>
        <v>2.9999999999999997E-4</v>
      </c>
      <c r="Q10" s="73">
        <f>Vasicek!I25</f>
        <v>2.9999999999999997E-4</v>
      </c>
      <c r="R10" s="73">
        <f>Vasicek!J25</f>
        <v>2.9999999999999997E-4</v>
      </c>
      <c r="T10" s="33" t="str">
        <f>K10</f>
        <v>AAA</v>
      </c>
      <c r="U10" s="41">
        <f>L10</f>
        <v>2.9999999999999997E-4</v>
      </c>
      <c r="V10" s="74">
        <f>Vasicek!E41</f>
        <v>2.9999999999999997E-4</v>
      </c>
      <c r="W10" s="74">
        <f>Vasicek!F41</f>
        <v>2.9999999999999997E-4</v>
      </c>
      <c r="X10" s="74">
        <f>Vasicek!G41</f>
        <v>2.9999999999999997E-4</v>
      </c>
      <c r="Y10" s="74">
        <f>Vasicek!H41</f>
        <v>2.9999999999999997E-4</v>
      </c>
      <c r="Z10" s="74">
        <f>Vasicek!I41</f>
        <v>2.9999999999999997E-4</v>
      </c>
      <c r="AA10" s="74">
        <f>Vasicek!J41</f>
        <v>2.9999999999999997E-4</v>
      </c>
    </row>
    <row r="11" spans="2:27" x14ac:dyDescent="0.25">
      <c r="B11" s="3" t="str">
        <f>Vasicek!B11</f>
        <v>AA+</v>
      </c>
      <c r="C11" s="39">
        <f>Vasicek!C11</f>
        <v>2.8999999999999998E-3</v>
      </c>
      <c r="D11" s="5">
        <f>Vasicek!E11</f>
        <v>2.9999999999999997E-4</v>
      </c>
      <c r="E11" s="5">
        <f>Vasicek!F11</f>
        <v>2.9999999999999997E-4</v>
      </c>
      <c r="F11" s="5">
        <f>Vasicek!G11</f>
        <v>2.9999999999999997E-4</v>
      </c>
      <c r="G11" s="5">
        <f>Vasicek!H11</f>
        <v>2.9999999999999997E-4</v>
      </c>
      <c r="H11" s="5">
        <f>Vasicek!I11</f>
        <v>2.9999999999999997E-4</v>
      </c>
      <c r="I11" s="5">
        <f>Vasicek!J11</f>
        <v>2.9999999999999997E-4</v>
      </c>
      <c r="K11" s="29" t="str">
        <f t="shared" ref="K11:K21" si="3">B11</f>
        <v>AA+</v>
      </c>
      <c r="L11" s="72">
        <f t="shared" ref="L11:L21" si="4">C11</f>
        <v>2.8999999999999998E-3</v>
      </c>
      <c r="M11" s="73">
        <f>Vasicek!E26</f>
        <v>2.9999999999999997E-4</v>
      </c>
      <c r="N11" s="73">
        <f>Vasicek!F26</f>
        <v>2.9999999999999997E-4</v>
      </c>
      <c r="O11" s="73">
        <f>Vasicek!G26</f>
        <v>2.9999999999999997E-4</v>
      </c>
      <c r="P11" s="73">
        <f>Vasicek!H26</f>
        <v>2.9999999999999997E-4</v>
      </c>
      <c r="Q11" s="73">
        <f>Vasicek!I26</f>
        <v>2.9999999999999997E-4</v>
      </c>
      <c r="R11" s="73">
        <f>Vasicek!J26</f>
        <v>2.9999999999999997E-4</v>
      </c>
      <c r="T11" s="33" t="str">
        <f t="shared" ref="T11:T21" si="5">K11</f>
        <v>AA+</v>
      </c>
      <c r="U11" s="41">
        <f t="shared" ref="U11:U21" si="6">L11</f>
        <v>2.8999999999999998E-3</v>
      </c>
      <c r="V11" s="74">
        <f>Vasicek!E42</f>
        <v>2.9999999999999997E-4</v>
      </c>
      <c r="W11" s="74">
        <f>Vasicek!F42</f>
        <v>2.9999999999999997E-4</v>
      </c>
      <c r="X11" s="74">
        <f>Vasicek!G42</f>
        <v>2.9999999999999997E-4</v>
      </c>
      <c r="Y11" s="74">
        <f>Vasicek!H42</f>
        <v>2.9999999999999997E-4</v>
      </c>
      <c r="Z11" s="74">
        <f>Vasicek!I42</f>
        <v>2.9999999999999997E-4</v>
      </c>
      <c r="AA11" s="74">
        <f>Vasicek!J42</f>
        <v>2.9999999999999997E-4</v>
      </c>
    </row>
    <row r="12" spans="2:27" x14ac:dyDescent="0.25">
      <c r="B12" s="3" t="str">
        <f>Vasicek!B12</f>
        <v>AA</v>
      </c>
      <c r="C12" s="39">
        <f>Vasicek!C12</f>
        <v>2.8999999999999998E-3</v>
      </c>
      <c r="D12" s="5">
        <f>Vasicek!E12</f>
        <v>2.9999999999999997E-4</v>
      </c>
      <c r="E12" s="5">
        <f>Vasicek!F12</f>
        <v>2.9999999999999997E-4</v>
      </c>
      <c r="F12" s="5">
        <f>Vasicek!G12</f>
        <v>2.9999999999999997E-4</v>
      </c>
      <c r="G12" s="5">
        <f>Vasicek!H12</f>
        <v>2.9999999999999997E-4</v>
      </c>
      <c r="H12" s="5">
        <f>Vasicek!I12</f>
        <v>2.9999999999999997E-4</v>
      </c>
      <c r="I12" s="5">
        <f>Vasicek!J12</f>
        <v>2.9999999999999997E-4</v>
      </c>
      <c r="K12" s="29" t="str">
        <f t="shared" si="3"/>
        <v>AA</v>
      </c>
      <c r="L12" s="72">
        <f t="shared" si="4"/>
        <v>2.8999999999999998E-3</v>
      </c>
      <c r="M12" s="73">
        <f>Vasicek!E27</f>
        <v>2.9999999999999997E-4</v>
      </c>
      <c r="N12" s="73">
        <f>Vasicek!F27</f>
        <v>2.9999999999999997E-4</v>
      </c>
      <c r="O12" s="73">
        <f>Vasicek!G27</f>
        <v>2.9999999999999997E-4</v>
      </c>
      <c r="P12" s="73">
        <f>Vasicek!H27</f>
        <v>2.9999999999999997E-4</v>
      </c>
      <c r="Q12" s="73">
        <f>Vasicek!I27</f>
        <v>2.9999999999999997E-4</v>
      </c>
      <c r="R12" s="73">
        <f>Vasicek!J27</f>
        <v>2.9999999999999997E-4</v>
      </c>
      <c r="T12" s="33" t="str">
        <f t="shared" si="5"/>
        <v>AA</v>
      </c>
      <c r="U12" s="41">
        <f t="shared" si="6"/>
        <v>2.8999999999999998E-3</v>
      </c>
      <c r="V12" s="74">
        <f>Vasicek!E43</f>
        <v>2.9999999999999997E-4</v>
      </c>
      <c r="W12" s="74">
        <f>Vasicek!F43</f>
        <v>2.9999999999999997E-4</v>
      </c>
      <c r="X12" s="74">
        <f>Vasicek!G43</f>
        <v>2.9999999999999997E-4</v>
      </c>
      <c r="Y12" s="74">
        <f>Vasicek!H43</f>
        <v>2.9999999999999997E-4</v>
      </c>
      <c r="Z12" s="74">
        <f>Vasicek!I43</f>
        <v>2.9999999999999997E-4</v>
      </c>
      <c r="AA12" s="74">
        <f>Vasicek!J43</f>
        <v>2.9999999999999997E-4</v>
      </c>
    </row>
    <row r="13" spans="2:27" x14ac:dyDescent="0.25">
      <c r="B13" s="3" t="str">
        <f>Vasicek!B13</f>
        <v>AA-</v>
      </c>
      <c r="C13" s="39">
        <f>Vasicek!C13</f>
        <v>2.8999999999999998E-3</v>
      </c>
      <c r="D13" s="5">
        <f>Vasicek!E13</f>
        <v>2.9999999999999997E-4</v>
      </c>
      <c r="E13" s="5">
        <f>Vasicek!F13</f>
        <v>2.9999999999999997E-4</v>
      </c>
      <c r="F13" s="5">
        <f>Vasicek!G13</f>
        <v>2.9999999999999997E-4</v>
      </c>
      <c r="G13" s="5">
        <f>Vasicek!H13</f>
        <v>2.9999999999999997E-4</v>
      </c>
      <c r="H13" s="5">
        <f>Vasicek!I13</f>
        <v>2.9999999999999997E-4</v>
      </c>
      <c r="I13" s="5">
        <f>Vasicek!J13</f>
        <v>2.9999999999999997E-4</v>
      </c>
      <c r="K13" s="29" t="str">
        <f t="shared" si="3"/>
        <v>AA-</v>
      </c>
      <c r="L13" s="72">
        <f t="shared" si="4"/>
        <v>2.8999999999999998E-3</v>
      </c>
      <c r="M13" s="73">
        <f>Vasicek!E28</f>
        <v>2.9999999999999997E-4</v>
      </c>
      <c r="N13" s="73">
        <f>Vasicek!F28</f>
        <v>2.9999999999999997E-4</v>
      </c>
      <c r="O13" s="73">
        <f>Vasicek!G28</f>
        <v>2.9999999999999997E-4</v>
      </c>
      <c r="P13" s="73">
        <f>Vasicek!H28</f>
        <v>2.9999999999999997E-4</v>
      </c>
      <c r="Q13" s="73">
        <f>Vasicek!I28</f>
        <v>2.9999999999999997E-4</v>
      </c>
      <c r="R13" s="73">
        <f>Vasicek!J28</f>
        <v>2.9999999999999997E-4</v>
      </c>
      <c r="T13" s="33" t="str">
        <f t="shared" si="5"/>
        <v>AA-</v>
      </c>
      <c r="U13" s="41">
        <f t="shared" si="6"/>
        <v>2.8999999999999998E-3</v>
      </c>
      <c r="V13" s="74">
        <f>Vasicek!E44</f>
        <v>2.9999999999999997E-4</v>
      </c>
      <c r="W13" s="74">
        <f>Vasicek!F44</f>
        <v>2.9999999999999997E-4</v>
      </c>
      <c r="X13" s="74">
        <f>Vasicek!G44</f>
        <v>2.9999999999999997E-4</v>
      </c>
      <c r="Y13" s="74">
        <f>Vasicek!H44</f>
        <v>2.9999999999999997E-4</v>
      </c>
      <c r="Z13" s="74">
        <f>Vasicek!I44</f>
        <v>2.9999999999999997E-4</v>
      </c>
      <c r="AA13" s="74">
        <f>Vasicek!J44</f>
        <v>2.9999999999999997E-4</v>
      </c>
    </row>
    <row r="14" spans="2:27" x14ac:dyDescent="0.25">
      <c r="B14" s="3" t="str">
        <f>Vasicek!B14</f>
        <v>A+</v>
      </c>
      <c r="C14" s="39">
        <f>Vasicek!C14</f>
        <v>6.6E-3</v>
      </c>
      <c r="D14" s="5">
        <f>Vasicek!E14</f>
        <v>6.8917817677122128E-4</v>
      </c>
      <c r="E14" s="5">
        <f>Vasicek!F14</f>
        <v>3.7879399109894319E-4</v>
      </c>
      <c r="F14" s="5">
        <f>Vasicek!G14</f>
        <v>2.9999999999999997E-4</v>
      </c>
      <c r="G14" s="5">
        <f>Vasicek!H14</f>
        <v>2.9999999999999997E-4</v>
      </c>
      <c r="H14" s="5">
        <f>Vasicek!I14</f>
        <v>2.9999999999999997E-4</v>
      </c>
      <c r="I14" s="5">
        <f>Vasicek!J14</f>
        <v>2.9999999999999997E-4</v>
      </c>
      <c r="K14" s="29" t="str">
        <f t="shared" si="3"/>
        <v>A+</v>
      </c>
      <c r="L14" s="72">
        <f t="shared" si="4"/>
        <v>6.6E-3</v>
      </c>
      <c r="M14" s="73">
        <f>Vasicek!E29</f>
        <v>5.9580224064648124E-4</v>
      </c>
      <c r="N14" s="73">
        <f>Vasicek!F29</f>
        <v>3.0576408268756224E-4</v>
      </c>
      <c r="O14" s="73">
        <f>Vasicek!G29</f>
        <v>2.9999999999999997E-4</v>
      </c>
      <c r="P14" s="73">
        <f>Vasicek!H29</f>
        <v>2.9999999999999997E-4</v>
      </c>
      <c r="Q14" s="73">
        <f>Vasicek!I29</f>
        <v>2.9999999999999997E-4</v>
      </c>
      <c r="R14" s="73">
        <f>Vasicek!J29</f>
        <v>2.9999999999999997E-4</v>
      </c>
      <c r="T14" s="33" t="str">
        <f t="shared" si="5"/>
        <v>A+</v>
      </c>
      <c r="U14" s="41">
        <f t="shared" si="6"/>
        <v>6.6E-3</v>
      </c>
      <c r="V14" s="74">
        <f>Vasicek!E45</f>
        <v>7.9589044603754625E-4</v>
      </c>
      <c r="W14" s="74">
        <f>Vasicek!F45</f>
        <v>4.6775426773040465E-4</v>
      </c>
      <c r="X14" s="74">
        <f>Vasicek!G45</f>
        <v>2.9999999999999997E-4</v>
      </c>
      <c r="Y14" s="74">
        <f>Vasicek!H45</f>
        <v>2.9999999999999997E-4</v>
      </c>
      <c r="Z14" s="74">
        <f>Vasicek!I45</f>
        <v>2.9999999999999997E-4</v>
      </c>
      <c r="AA14" s="74">
        <f>Vasicek!J45</f>
        <v>2.9999999999999997E-4</v>
      </c>
    </row>
    <row r="15" spans="2:27" x14ac:dyDescent="0.25">
      <c r="B15" s="3" t="str">
        <f>Vasicek!B15</f>
        <v>A</v>
      </c>
      <c r="C15" s="39">
        <f>Vasicek!C15</f>
        <v>6.6E-3</v>
      </c>
      <c r="D15" s="5">
        <f>Vasicek!E15</f>
        <v>6.8917817677122128E-4</v>
      </c>
      <c r="E15" s="5">
        <f>Vasicek!F15</f>
        <v>3.7879399109894319E-4</v>
      </c>
      <c r="F15" s="5">
        <f>Vasicek!G15</f>
        <v>2.9999999999999997E-4</v>
      </c>
      <c r="G15" s="5">
        <f>Vasicek!H15</f>
        <v>2.9999999999999997E-4</v>
      </c>
      <c r="H15" s="5">
        <f>Vasicek!I15</f>
        <v>2.9999999999999997E-4</v>
      </c>
      <c r="I15" s="5">
        <f>Vasicek!J15</f>
        <v>2.9999999999999997E-4</v>
      </c>
      <c r="K15" s="29" t="str">
        <f t="shared" si="3"/>
        <v>A</v>
      </c>
      <c r="L15" s="72">
        <f t="shared" si="4"/>
        <v>6.6E-3</v>
      </c>
      <c r="M15" s="73">
        <f>Vasicek!E30</f>
        <v>5.9580224064648124E-4</v>
      </c>
      <c r="N15" s="73">
        <f>Vasicek!F30</f>
        <v>3.0576408268756224E-4</v>
      </c>
      <c r="O15" s="73">
        <f>Vasicek!G30</f>
        <v>2.9999999999999997E-4</v>
      </c>
      <c r="P15" s="73">
        <f>Vasicek!H30</f>
        <v>2.9999999999999997E-4</v>
      </c>
      <c r="Q15" s="73">
        <f>Vasicek!I30</f>
        <v>2.9999999999999997E-4</v>
      </c>
      <c r="R15" s="73">
        <f>Vasicek!J30</f>
        <v>2.9999999999999997E-4</v>
      </c>
      <c r="T15" s="33" t="str">
        <f t="shared" si="5"/>
        <v>A</v>
      </c>
      <c r="U15" s="41">
        <f t="shared" si="6"/>
        <v>6.6E-3</v>
      </c>
      <c r="V15" s="74">
        <f>Vasicek!E46</f>
        <v>7.9589044603754625E-4</v>
      </c>
      <c r="W15" s="74">
        <f>Vasicek!F46</f>
        <v>4.6775426773040465E-4</v>
      </c>
      <c r="X15" s="74">
        <f>Vasicek!G46</f>
        <v>2.9999999999999997E-4</v>
      </c>
      <c r="Y15" s="74">
        <f>Vasicek!H46</f>
        <v>2.9999999999999997E-4</v>
      </c>
      <c r="Z15" s="74">
        <f>Vasicek!I46</f>
        <v>2.9999999999999997E-4</v>
      </c>
      <c r="AA15" s="74">
        <f>Vasicek!J46</f>
        <v>2.9999999999999997E-4</v>
      </c>
    </row>
    <row r="16" spans="2:27" x14ac:dyDescent="0.25">
      <c r="B16" s="3" t="str">
        <f>Vasicek!B16</f>
        <v>A-</v>
      </c>
      <c r="C16" s="39">
        <f>Vasicek!C16</f>
        <v>6.6E-3</v>
      </c>
      <c r="D16" s="5">
        <f>Vasicek!E16</f>
        <v>6.8917817677122128E-4</v>
      </c>
      <c r="E16" s="5">
        <f>Vasicek!F16</f>
        <v>3.7879399109894319E-4</v>
      </c>
      <c r="F16" s="5">
        <f>Vasicek!G16</f>
        <v>2.9999999999999997E-4</v>
      </c>
      <c r="G16" s="5">
        <f>Vasicek!H16</f>
        <v>2.9999999999999997E-4</v>
      </c>
      <c r="H16" s="5">
        <f>Vasicek!I16</f>
        <v>2.9999999999999997E-4</v>
      </c>
      <c r="I16" s="5">
        <f>Vasicek!J16</f>
        <v>2.9999999999999997E-4</v>
      </c>
      <c r="K16" s="29" t="str">
        <f t="shared" si="3"/>
        <v>A-</v>
      </c>
      <c r="L16" s="72">
        <f t="shared" si="4"/>
        <v>6.6E-3</v>
      </c>
      <c r="M16" s="73">
        <f>Vasicek!E31</f>
        <v>5.9580224064648124E-4</v>
      </c>
      <c r="N16" s="73">
        <f>Vasicek!F31</f>
        <v>3.0576408268756224E-4</v>
      </c>
      <c r="O16" s="73">
        <f>Vasicek!G31</f>
        <v>2.9999999999999997E-4</v>
      </c>
      <c r="P16" s="73">
        <f>Vasicek!H31</f>
        <v>2.9999999999999997E-4</v>
      </c>
      <c r="Q16" s="73">
        <f>Vasicek!I31</f>
        <v>2.9999999999999997E-4</v>
      </c>
      <c r="R16" s="73">
        <f>Vasicek!J31</f>
        <v>2.9999999999999997E-4</v>
      </c>
      <c r="T16" s="33" t="str">
        <f t="shared" si="5"/>
        <v>A-</v>
      </c>
      <c r="U16" s="41">
        <f t="shared" si="6"/>
        <v>6.6E-3</v>
      </c>
      <c r="V16" s="74">
        <f>Vasicek!E47</f>
        <v>7.9589044603754625E-4</v>
      </c>
      <c r="W16" s="74">
        <f>Vasicek!F47</f>
        <v>4.6775426773040465E-4</v>
      </c>
      <c r="X16" s="74">
        <f>Vasicek!G47</f>
        <v>2.9999999999999997E-4</v>
      </c>
      <c r="Y16" s="74">
        <f>Vasicek!H47</f>
        <v>2.9999999999999997E-4</v>
      </c>
      <c r="Z16" s="74">
        <f>Vasicek!I47</f>
        <v>2.9999999999999997E-4</v>
      </c>
      <c r="AA16" s="74">
        <f>Vasicek!J47</f>
        <v>2.9999999999999997E-4</v>
      </c>
    </row>
    <row r="17" spans="2:27" x14ac:dyDescent="0.25">
      <c r="B17" s="3" t="str">
        <f>Vasicek!B17</f>
        <v>BBB+</v>
      </c>
      <c r="C17" s="39">
        <f>Vasicek!C17</f>
        <v>2.2100000000000002E-2</v>
      </c>
      <c r="D17" s="5">
        <f>Vasicek!E17</f>
        <v>5.353391981984092E-3</v>
      </c>
      <c r="E17" s="5">
        <f>Vasicek!F17</f>
        <v>3.5045129904206582E-3</v>
      </c>
      <c r="F17" s="5">
        <f>Vasicek!G17</f>
        <v>2.1673403439655728E-3</v>
      </c>
      <c r="G17" s="5">
        <f>Vasicek!H17</f>
        <v>1.2239834512618849E-3</v>
      </c>
      <c r="H17" s="5">
        <f>Vasicek!I17</f>
        <v>6.299917185925367E-4</v>
      </c>
      <c r="I17" s="5">
        <f>Vasicek!J17</f>
        <v>2.9999999999999997E-4</v>
      </c>
      <c r="K17" s="29" t="str">
        <f>B17</f>
        <v>BBB+</v>
      </c>
      <c r="L17" s="72">
        <f t="shared" si="4"/>
        <v>2.2100000000000002E-2</v>
      </c>
      <c r="M17" s="73">
        <f>Vasicek!E32</f>
        <v>4.8292176848399029E-3</v>
      </c>
      <c r="N17" s="73">
        <f>Vasicek!F32</f>
        <v>3.0113581299352371E-3</v>
      </c>
      <c r="O17" s="73">
        <f>Vasicek!G32</f>
        <v>1.7587271109650111E-3</v>
      </c>
      <c r="P17" s="73">
        <f>Vasicek!H32</f>
        <v>9.2549219877466565E-4</v>
      </c>
      <c r="Q17" s="73">
        <f>Vasicek!I32</f>
        <v>4.3748296238813375E-4</v>
      </c>
      <c r="R17" s="73">
        <f>Vasicek!J32</f>
        <v>2.9999999999999997E-4</v>
      </c>
      <c r="T17" s="33" t="str">
        <f t="shared" si="5"/>
        <v>BBB+</v>
      </c>
      <c r="U17" s="41">
        <f t="shared" si="6"/>
        <v>2.2100000000000002E-2</v>
      </c>
      <c r="V17" s="74">
        <f>Vasicek!E48</f>
        <v>5.9275590606655366E-3</v>
      </c>
      <c r="W17" s="74">
        <f>Vasicek!F48</f>
        <v>4.0690229456724009E-3</v>
      </c>
      <c r="X17" s="74">
        <f>Vasicek!G48</f>
        <v>2.660231838771912E-3</v>
      </c>
      <c r="Y17" s="74">
        <f>Vasicek!H48</f>
        <v>1.6082894264833447E-3</v>
      </c>
      <c r="Z17" s="74">
        <f>Vasicek!I48</f>
        <v>8.9825047074257845E-4</v>
      </c>
      <c r="AA17" s="74">
        <f>Vasicek!J48</f>
        <v>4.5119812175720006E-4</v>
      </c>
    </row>
    <row r="18" spans="2:27" x14ac:dyDescent="0.25">
      <c r="B18" s="3" t="str">
        <f>Vasicek!B18</f>
        <v>BBB</v>
      </c>
      <c r="C18" s="39">
        <f>Vasicek!C18</f>
        <v>2.2100000000000002E-2</v>
      </c>
      <c r="D18" s="5">
        <f>Vasicek!E18</f>
        <v>5.353391981984092E-3</v>
      </c>
      <c r="E18" s="5">
        <f>Vasicek!F18</f>
        <v>3.5045129904206582E-3</v>
      </c>
      <c r="F18" s="5">
        <f>Vasicek!G18</f>
        <v>2.1673403439655728E-3</v>
      </c>
      <c r="G18" s="5">
        <f>Vasicek!H18</f>
        <v>1.2239834512618849E-3</v>
      </c>
      <c r="H18" s="5">
        <f>Vasicek!I18</f>
        <v>6.299917185925367E-4</v>
      </c>
      <c r="I18" s="5">
        <f>Vasicek!J18</f>
        <v>2.9999999999999997E-4</v>
      </c>
      <c r="K18" s="29" t="str">
        <f t="shared" si="3"/>
        <v>BBB</v>
      </c>
      <c r="L18" s="72">
        <f t="shared" si="4"/>
        <v>2.2100000000000002E-2</v>
      </c>
      <c r="M18" s="73">
        <f>Vasicek!E33</f>
        <v>4.8292176848399029E-3</v>
      </c>
      <c r="N18" s="73">
        <f>Vasicek!F33</f>
        <v>3.0113581299352371E-3</v>
      </c>
      <c r="O18" s="73">
        <f>Vasicek!G33</f>
        <v>1.7587271109650111E-3</v>
      </c>
      <c r="P18" s="73">
        <f>Vasicek!H33</f>
        <v>9.2549219877466565E-4</v>
      </c>
      <c r="Q18" s="73">
        <f>Vasicek!I33</f>
        <v>4.3748296238813375E-4</v>
      </c>
      <c r="R18" s="73">
        <f>Vasicek!J33</f>
        <v>2.9999999999999997E-4</v>
      </c>
      <c r="T18" s="33" t="str">
        <f>K18</f>
        <v>BBB</v>
      </c>
      <c r="U18" s="41">
        <f t="shared" si="6"/>
        <v>2.2100000000000002E-2</v>
      </c>
      <c r="V18" s="74">
        <f>Vasicek!E49</f>
        <v>5.9275590606655366E-3</v>
      </c>
      <c r="W18" s="74">
        <f>Vasicek!F49</f>
        <v>4.0690229456724009E-3</v>
      </c>
      <c r="X18" s="74">
        <f>Vasicek!G49</f>
        <v>2.660231838771912E-3</v>
      </c>
      <c r="Y18" s="74">
        <f>Vasicek!H49</f>
        <v>1.6082894264833447E-3</v>
      </c>
      <c r="Z18" s="74">
        <f>Vasicek!I49</f>
        <v>8.9825047074257845E-4</v>
      </c>
      <c r="AA18" s="74">
        <f>Vasicek!J49</f>
        <v>4.5119812175720006E-4</v>
      </c>
    </row>
    <row r="19" spans="2:27" x14ac:dyDescent="0.25">
      <c r="B19" s="3" t="str">
        <f>Vasicek!B19</f>
        <v>BBB-</v>
      </c>
      <c r="C19" s="39">
        <f>Vasicek!C19</f>
        <v>2.2100000000000002E-2</v>
      </c>
      <c r="D19" s="5">
        <f>Vasicek!E19</f>
        <v>5.353391981984092E-3</v>
      </c>
      <c r="E19" s="5">
        <f>Vasicek!F19</f>
        <v>3.5045129904206582E-3</v>
      </c>
      <c r="F19" s="5">
        <f>Vasicek!G19</f>
        <v>2.1673403439655728E-3</v>
      </c>
      <c r="G19" s="5">
        <f>Vasicek!H19</f>
        <v>1.2239834512618849E-3</v>
      </c>
      <c r="H19" s="5">
        <f>Vasicek!I19</f>
        <v>6.299917185925367E-4</v>
      </c>
      <c r="I19" s="5">
        <f>Vasicek!J19</f>
        <v>2.9999999999999997E-4</v>
      </c>
      <c r="K19" s="29" t="str">
        <f t="shared" si="3"/>
        <v>BBB-</v>
      </c>
      <c r="L19" s="72">
        <f t="shared" si="4"/>
        <v>2.2100000000000002E-2</v>
      </c>
      <c r="M19" s="73">
        <f>Vasicek!E34</f>
        <v>4.8292176848399029E-3</v>
      </c>
      <c r="N19" s="73">
        <f>Vasicek!F34</f>
        <v>3.0113581299352371E-3</v>
      </c>
      <c r="O19" s="73">
        <f>Vasicek!G34</f>
        <v>1.7587271109650111E-3</v>
      </c>
      <c r="P19" s="73">
        <f>Vasicek!H34</f>
        <v>9.2549219877466565E-4</v>
      </c>
      <c r="Q19" s="73">
        <f>Vasicek!I34</f>
        <v>4.3748296238813375E-4</v>
      </c>
      <c r="R19" s="73">
        <f>Vasicek!J34</f>
        <v>2.9999999999999997E-4</v>
      </c>
      <c r="T19" s="33" t="str">
        <f t="shared" si="5"/>
        <v>BBB-</v>
      </c>
      <c r="U19" s="41">
        <f t="shared" si="6"/>
        <v>2.2100000000000002E-2</v>
      </c>
      <c r="V19" s="74">
        <f>Vasicek!E50</f>
        <v>5.9275590606655366E-3</v>
      </c>
      <c r="W19" s="74">
        <f>Vasicek!F50</f>
        <v>4.0690229456724009E-3</v>
      </c>
      <c r="X19" s="74">
        <f>Vasicek!G50</f>
        <v>2.660231838771912E-3</v>
      </c>
      <c r="Y19" s="74">
        <f>Vasicek!H50</f>
        <v>1.6082894264833447E-3</v>
      </c>
      <c r="Z19" s="74">
        <f>Vasicek!I50</f>
        <v>8.9825047074257845E-4</v>
      </c>
      <c r="AA19" s="74">
        <f>Vasicek!J50</f>
        <v>4.5119812175720006E-4</v>
      </c>
    </row>
    <row r="20" spans="2:27" x14ac:dyDescent="0.25">
      <c r="B20" s="3" t="str">
        <f>Vasicek!B20</f>
        <v>BB+</v>
      </c>
      <c r="C20" s="39">
        <f>Vasicek!C20</f>
        <v>9.9199999999999997E-2</v>
      </c>
      <c r="D20" s="5">
        <f>Vasicek!E20</f>
        <v>4.6947092764950078E-2</v>
      </c>
      <c r="E20" s="5">
        <f>Vasicek!F20</f>
        <v>3.6097097033416813E-2</v>
      </c>
      <c r="F20" s="5">
        <f>Vasicek!G20</f>
        <v>2.6754164492116268E-2</v>
      </c>
      <c r="G20" s="5">
        <f>Vasicek!H20</f>
        <v>1.8704154324256879E-2</v>
      </c>
      <c r="H20" s="5">
        <f>Vasicek!I20</f>
        <v>1.2310709056921833E-2</v>
      </c>
      <c r="I20" s="5">
        <f>Vasicek!J20</f>
        <v>7.4718577238295104E-3</v>
      </c>
      <c r="K20" s="29" t="str">
        <f t="shared" si="3"/>
        <v>BB+</v>
      </c>
      <c r="L20" s="72">
        <f t="shared" si="4"/>
        <v>9.9199999999999997E-2</v>
      </c>
      <c r="M20" s="73">
        <f>Vasicek!E35</f>
        <v>4.4045226919063624E-2</v>
      </c>
      <c r="N20" s="73">
        <f>Vasicek!F35</f>
        <v>3.2846412921582704E-2</v>
      </c>
      <c r="O20" s="73">
        <f>Vasicek!G35</f>
        <v>2.3477360563597623E-2</v>
      </c>
      <c r="P20" s="73">
        <f>Vasicek!H35</f>
        <v>1.5689193144473965E-2</v>
      </c>
      <c r="Q20" s="73">
        <f>Vasicek!I35</f>
        <v>9.7755353846107271E-3</v>
      </c>
      <c r="R20" s="73">
        <f>Vasicek!J35</f>
        <v>5.5434565211394532E-3</v>
      </c>
      <c r="T20" s="33" t="str">
        <f t="shared" si="5"/>
        <v>BB+</v>
      </c>
      <c r="U20" s="41">
        <f t="shared" si="6"/>
        <v>9.9199999999999997E-2</v>
      </c>
      <c r="V20" s="74">
        <f>Vasicek!E51</f>
        <v>5.0000318019349135E-2</v>
      </c>
      <c r="W20" s="74">
        <f>Vasicek!F51</f>
        <v>3.9606634362708122E-2</v>
      </c>
      <c r="X20" s="74">
        <f>Vasicek!G51</f>
        <v>3.0404417593930567E-2</v>
      </c>
      <c r="Y20" s="74">
        <f>Vasicek!H51</f>
        <v>2.2198740731742595E-2</v>
      </c>
      <c r="Z20" s="74">
        <f>Vasicek!I51</f>
        <v>1.5396828771799275E-2</v>
      </c>
      <c r="AA20" s="74">
        <f>Vasicek!J51</f>
        <v>9.9684567255840916E-3</v>
      </c>
    </row>
    <row r="21" spans="2:27" x14ac:dyDescent="0.25">
      <c r="B21" s="3" t="str">
        <f>Vasicek!B21</f>
        <v>Unrated</v>
      </c>
      <c r="C21" s="39">
        <f>Vasicek!C21</f>
        <v>9.9199999999999997E-2</v>
      </c>
      <c r="D21" s="5">
        <f>Vasicek!E21</f>
        <v>4.6947092764950078E-2</v>
      </c>
      <c r="E21" s="5">
        <f>Vasicek!F21</f>
        <v>3.6097097033416813E-2</v>
      </c>
      <c r="F21" s="5">
        <f>Vasicek!G21</f>
        <v>2.6754164492116268E-2</v>
      </c>
      <c r="G21" s="5">
        <f>Vasicek!H21</f>
        <v>1.8704154324256879E-2</v>
      </c>
      <c r="H21" s="5">
        <f>Vasicek!I21</f>
        <v>1.2310709056921833E-2</v>
      </c>
      <c r="I21" s="5">
        <f>Vasicek!J21</f>
        <v>7.4718577238295104E-3</v>
      </c>
      <c r="K21" s="29" t="str">
        <f t="shared" si="3"/>
        <v>Unrated</v>
      </c>
      <c r="L21" s="72">
        <f t="shared" si="4"/>
        <v>9.9199999999999997E-2</v>
      </c>
      <c r="M21" s="73">
        <f>Vasicek!E36</f>
        <v>4.4045226919063624E-2</v>
      </c>
      <c r="N21" s="73">
        <f>Vasicek!F36</f>
        <v>3.2846412921582704E-2</v>
      </c>
      <c r="O21" s="73">
        <f>Vasicek!G36</f>
        <v>2.3477360563597623E-2</v>
      </c>
      <c r="P21" s="73">
        <f>Vasicek!H36</f>
        <v>1.5689193144473965E-2</v>
      </c>
      <c r="Q21" s="73">
        <f>Vasicek!I36</f>
        <v>9.7755353846107271E-3</v>
      </c>
      <c r="R21" s="73">
        <f>Vasicek!J36</f>
        <v>5.5434565211394532E-3</v>
      </c>
      <c r="T21" s="33" t="str">
        <f t="shared" si="5"/>
        <v>Unrated</v>
      </c>
      <c r="U21" s="41">
        <f t="shared" si="6"/>
        <v>9.9199999999999997E-2</v>
      </c>
      <c r="V21" s="74">
        <f>Vasicek!E52</f>
        <v>5.0000318019349135E-2</v>
      </c>
      <c r="W21" s="74">
        <f>Vasicek!F52</f>
        <v>3.9606634362708122E-2</v>
      </c>
      <c r="X21" s="74">
        <f>Vasicek!G52</f>
        <v>3.0404417593930567E-2</v>
      </c>
      <c r="Y21" s="74">
        <f>Vasicek!H52</f>
        <v>2.2198740731742595E-2</v>
      </c>
      <c r="Z21" s="74">
        <f>Vasicek!I52</f>
        <v>1.5396828771799275E-2</v>
      </c>
      <c r="AA21" s="74">
        <f>Vasicek!J52</f>
        <v>9.9684567255840916E-3</v>
      </c>
    </row>
    <row r="22" spans="2:27" x14ac:dyDescent="0.25">
      <c r="B22" s="19"/>
      <c r="C22" s="52"/>
      <c r="D22" s="57"/>
      <c r="E22" s="57"/>
      <c r="F22" s="57"/>
      <c r="G22" s="57"/>
      <c r="H22" s="57"/>
      <c r="I22" s="57"/>
      <c r="K22" s="19"/>
      <c r="L22" s="52"/>
      <c r="M22" s="57"/>
      <c r="N22" s="57"/>
      <c r="O22" s="57"/>
      <c r="P22" s="57"/>
      <c r="Q22" s="57"/>
      <c r="R22" s="57"/>
      <c r="T22" s="19"/>
      <c r="U22" s="52"/>
      <c r="V22" s="77"/>
      <c r="W22" s="77"/>
      <c r="X22" s="77"/>
      <c r="Y22" s="77"/>
      <c r="Z22" s="77"/>
      <c r="AA22" s="77"/>
    </row>
    <row r="23" spans="2:27" x14ac:dyDescent="0.25">
      <c r="D23" s="44"/>
      <c r="E23" s="53"/>
    </row>
    <row r="24" spans="2:27" x14ac:dyDescent="0.25">
      <c r="B24" s="25" t="s">
        <v>18</v>
      </c>
      <c r="C24" s="75" t="s">
        <v>79</v>
      </c>
      <c r="D24" s="44"/>
      <c r="K24" s="70" t="s">
        <v>19</v>
      </c>
      <c r="L24" s="75" t="s">
        <v>79</v>
      </c>
      <c r="T24" s="32" t="s">
        <v>20</v>
      </c>
      <c r="U24" s="75" t="s">
        <v>79</v>
      </c>
    </row>
    <row r="25" spans="2:27" x14ac:dyDescent="0.25">
      <c r="B25" s="2" t="s">
        <v>25</v>
      </c>
      <c r="C25" s="2" t="s">
        <v>26</v>
      </c>
      <c r="D25" s="2">
        <v>2026</v>
      </c>
      <c r="E25" s="2">
        <f t="shared" ref="E25:I25" si="7">D25+1</f>
        <v>2027</v>
      </c>
      <c r="F25" s="2">
        <f t="shared" si="7"/>
        <v>2028</v>
      </c>
      <c r="G25" s="2">
        <f t="shared" si="7"/>
        <v>2029</v>
      </c>
      <c r="H25" s="2">
        <f t="shared" si="7"/>
        <v>2030</v>
      </c>
      <c r="I25" s="2">
        <f t="shared" si="7"/>
        <v>2031</v>
      </c>
      <c r="K25" s="28" t="s">
        <v>25</v>
      </c>
      <c r="L25" s="71" t="s">
        <v>26</v>
      </c>
      <c r="M25" s="28">
        <v>2026</v>
      </c>
      <c r="N25" s="28">
        <f t="shared" ref="N25:R25" si="8">M25+1</f>
        <v>2027</v>
      </c>
      <c r="O25" s="28">
        <f t="shared" si="8"/>
        <v>2028</v>
      </c>
      <c r="P25" s="28">
        <f t="shared" si="8"/>
        <v>2029</v>
      </c>
      <c r="Q25" s="28">
        <f t="shared" si="8"/>
        <v>2030</v>
      </c>
      <c r="R25" s="28">
        <f t="shared" si="8"/>
        <v>2031</v>
      </c>
      <c r="T25" s="32" t="s">
        <v>25</v>
      </c>
      <c r="U25" s="32" t="s">
        <v>26</v>
      </c>
      <c r="V25" s="32">
        <v>2026</v>
      </c>
      <c r="W25" s="32">
        <f t="shared" ref="W25:AA25" si="9">V25+1</f>
        <v>2027</v>
      </c>
      <c r="X25" s="32">
        <f t="shared" si="9"/>
        <v>2028</v>
      </c>
      <c r="Y25" s="32">
        <f t="shared" si="9"/>
        <v>2029</v>
      </c>
      <c r="Z25" s="32">
        <f t="shared" si="9"/>
        <v>2030</v>
      </c>
      <c r="AA25" s="32">
        <f t="shared" si="9"/>
        <v>2031</v>
      </c>
    </row>
    <row r="26" spans="2:27" x14ac:dyDescent="0.25">
      <c r="B26" s="3" t="str">
        <f>B10</f>
        <v>AAA</v>
      </c>
      <c r="C26" s="39">
        <f>C10</f>
        <v>2.9999999999999997E-4</v>
      </c>
      <c r="D26" s="5">
        <f>1-D10</f>
        <v>0.99970000000000003</v>
      </c>
      <c r="E26" s="5">
        <f t="shared" ref="E26:I26" si="10">1-E10</f>
        <v>0.99970000000000003</v>
      </c>
      <c r="F26" s="5">
        <f t="shared" si="10"/>
        <v>0.99970000000000003</v>
      </c>
      <c r="G26" s="5">
        <f t="shared" si="10"/>
        <v>0.99970000000000003</v>
      </c>
      <c r="H26" s="5">
        <f t="shared" si="10"/>
        <v>0.99970000000000003</v>
      </c>
      <c r="I26" s="5">
        <f t="shared" si="10"/>
        <v>0.99970000000000003</v>
      </c>
      <c r="K26" s="29" t="str">
        <f>B26</f>
        <v>AAA</v>
      </c>
      <c r="L26" s="72">
        <f>C26</f>
        <v>2.9999999999999997E-4</v>
      </c>
      <c r="M26" s="73">
        <f>1-M10</f>
        <v>0.99970000000000003</v>
      </c>
      <c r="N26" s="73">
        <f t="shared" ref="N26:R26" si="11">1-N10</f>
        <v>0.99970000000000003</v>
      </c>
      <c r="O26" s="73">
        <f t="shared" si="11"/>
        <v>0.99970000000000003</v>
      </c>
      <c r="P26" s="73">
        <f t="shared" si="11"/>
        <v>0.99970000000000003</v>
      </c>
      <c r="Q26" s="73">
        <f t="shared" si="11"/>
        <v>0.99970000000000003</v>
      </c>
      <c r="R26" s="73">
        <f t="shared" si="11"/>
        <v>0.99970000000000003</v>
      </c>
      <c r="T26" s="33" t="str">
        <f>T10</f>
        <v>AAA</v>
      </c>
      <c r="U26" s="41">
        <f>C26</f>
        <v>2.9999999999999997E-4</v>
      </c>
      <c r="V26" s="74">
        <f t="shared" ref="V26:AA26" si="12">1-V10</f>
        <v>0.99970000000000003</v>
      </c>
      <c r="W26" s="74">
        <f t="shared" si="12"/>
        <v>0.99970000000000003</v>
      </c>
      <c r="X26" s="74">
        <f t="shared" si="12"/>
        <v>0.99970000000000003</v>
      </c>
      <c r="Y26" s="74">
        <f t="shared" si="12"/>
        <v>0.99970000000000003</v>
      </c>
      <c r="Z26" s="74">
        <f t="shared" si="12"/>
        <v>0.99970000000000003</v>
      </c>
      <c r="AA26" s="74">
        <f t="shared" si="12"/>
        <v>0.99970000000000003</v>
      </c>
    </row>
    <row r="27" spans="2:27" x14ac:dyDescent="0.25">
      <c r="B27" s="3" t="str">
        <f t="shared" ref="B27:C37" si="13">B11</f>
        <v>AA+</v>
      </c>
      <c r="C27" s="39">
        <f t="shared" si="13"/>
        <v>2.8999999999999998E-3</v>
      </c>
      <c r="D27" s="5">
        <f t="shared" ref="D27:I27" si="14">1-D11</f>
        <v>0.99970000000000003</v>
      </c>
      <c r="E27" s="5">
        <f t="shared" si="14"/>
        <v>0.99970000000000003</v>
      </c>
      <c r="F27" s="5">
        <f t="shared" si="14"/>
        <v>0.99970000000000003</v>
      </c>
      <c r="G27" s="5">
        <f t="shared" si="14"/>
        <v>0.99970000000000003</v>
      </c>
      <c r="H27" s="5">
        <f t="shared" si="14"/>
        <v>0.99970000000000003</v>
      </c>
      <c r="I27" s="5">
        <f t="shared" si="14"/>
        <v>0.99970000000000003</v>
      </c>
      <c r="K27" s="29" t="str">
        <f t="shared" ref="K27:K37" si="15">B27</f>
        <v>AA+</v>
      </c>
      <c r="L27" s="72">
        <f t="shared" ref="L27:L37" si="16">C27</f>
        <v>2.8999999999999998E-3</v>
      </c>
      <c r="M27" s="73">
        <f t="shared" ref="M27:R27" si="17">1-M11</f>
        <v>0.99970000000000003</v>
      </c>
      <c r="N27" s="73">
        <f t="shared" si="17"/>
        <v>0.99970000000000003</v>
      </c>
      <c r="O27" s="73">
        <f t="shared" si="17"/>
        <v>0.99970000000000003</v>
      </c>
      <c r="P27" s="73">
        <f t="shared" si="17"/>
        <v>0.99970000000000003</v>
      </c>
      <c r="Q27" s="73">
        <f t="shared" si="17"/>
        <v>0.99970000000000003</v>
      </c>
      <c r="R27" s="73">
        <f t="shared" si="17"/>
        <v>0.99970000000000003</v>
      </c>
      <c r="T27" s="33" t="str">
        <f t="shared" ref="T27:T37" si="18">T11</f>
        <v>AA+</v>
      </c>
      <c r="U27" s="41">
        <f t="shared" ref="U27:U37" si="19">C27</f>
        <v>2.8999999999999998E-3</v>
      </c>
      <c r="V27" s="74">
        <f t="shared" ref="V27:AA27" si="20">1-V11</f>
        <v>0.99970000000000003</v>
      </c>
      <c r="W27" s="74">
        <f t="shared" si="20"/>
        <v>0.99970000000000003</v>
      </c>
      <c r="X27" s="74">
        <f t="shared" si="20"/>
        <v>0.99970000000000003</v>
      </c>
      <c r="Y27" s="74">
        <f t="shared" si="20"/>
        <v>0.99970000000000003</v>
      </c>
      <c r="Z27" s="74">
        <f t="shared" si="20"/>
        <v>0.99970000000000003</v>
      </c>
      <c r="AA27" s="74">
        <f t="shared" si="20"/>
        <v>0.99970000000000003</v>
      </c>
    </row>
    <row r="28" spans="2:27" x14ac:dyDescent="0.25">
      <c r="B28" s="3" t="str">
        <f t="shared" si="13"/>
        <v>AA</v>
      </c>
      <c r="C28" s="39">
        <f t="shared" si="13"/>
        <v>2.8999999999999998E-3</v>
      </c>
      <c r="D28" s="5">
        <f t="shared" ref="D28:I28" si="21">1-D12</f>
        <v>0.99970000000000003</v>
      </c>
      <c r="E28" s="5">
        <f t="shared" si="21"/>
        <v>0.99970000000000003</v>
      </c>
      <c r="F28" s="5">
        <f t="shared" si="21"/>
        <v>0.99970000000000003</v>
      </c>
      <c r="G28" s="5">
        <f t="shared" si="21"/>
        <v>0.99970000000000003</v>
      </c>
      <c r="H28" s="5">
        <f t="shared" si="21"/>
        <v>0.99970000000000003</v>
      </c>
      <c r="I28" s="5">
        <f t="shared" si="21"/>
        <v>0.99970000000000003</v>
      </c>
      <c r="K28" s="29" t="str">
        <f t="shared" si="15"/>
        <v>AA</v>
      </c>
      <c r="L28" s="72">
        <f t="shared" si="16"/>
        <v>2.8999999999999998E-3</v>
      </c>
      <c r="M28" s="73">
        <f t="shared" ref="M28:R28" si="22">1-M12</f>
        <v>0.99970000000000003</v>
      </c>
      <c r="N28" s="73">
        <f t="shared" si="22"/>
        <v>0.99970000000000003</v>
      </c>
      <c r="O28" s="73">
        <f t="shared" si="22"/>
        <v>0.99970000000000003</v>
      </c>
      <c r="P28" s="73">
        <f t="shared" si="22"/>
        <v>0.99970000000000003</v>
      </c>
      <c r="Q28" s="73">
        <f t="shared" si="22"/>
        <v>0.99970000000000003</v>
      </c>
      <c r="R28" s="73">
        <f t="shared" si="22"/>
        <v>0.99970000000000003</v>
      </c>
      <c r="T28" s="33" t="str">
        <f t="shared" si="18"/>
        <v>AA</v>
      </c>
      <c r="U28" s="41">
        <f t="shared" si="19"/>
        <v>2.8999999999999998E-3</v>
      </c>
      <c r="V28" s="74">
        <f t="shared" ref="V28:AA28" si="23">1-V12</f>
        <v>0.99970000000000003</v>
      </c>
      <c r="W28" s="74">
        <f t="shared" si="23"/>
        <v>0.99970000000000003</v>
      </c>
      <c r="X28" s="74">
        <f t="shared" si="23"/>
        <v>0.99970000000000003</v>
      </c>
      <c r="Y28" s="74">
        <f t="shared" si="23"/>
        <v>0.99970000000000003</v>
      </c>
      <c r="Z28" s="74">
        <f t="shared" si="23"/>
        <v>0.99970000000000003</v>
      </c>
      <c r="AA28" s="74">
        <f t="shared" si="23"/>
        <v>0.99970000000000003</v>
      </c>
    </row>
    <row r="29" spans="2:27" x14ac:dyDescent="0.25">
      <c r="B29" s="3" t="str">
        <f t="shared" si="13"/>
        <v>AA-</v>
      </c>
      <c r="C29" s="39">
        <f t="shared" si="13"/>
        <v>2.8999999999999998E-3</v>
      </c>
      <c r="D29" s="5">
        <f t="shared" ref="D29:I29" si="24">1-D13</f>
        <v>0.99970000000000003</v>
      </c>
      <c r="E29" s="5">
        <f t="shared" si="24"/>
        <v>0.99970000000000003</v>
      </c>
      <c r="F29" s="5">
        <f t="shared" si="24"/>
        <v>0.99970000000000003</v>
      </c>
      <c r="G29" s="5">
        <f t="shared" si="24"/>
        <v>0.99970000000000003</v>
      </c>
      <c r="H29" s="5">
        <f t="shared" si="24"/>
        <v>0.99970000000000003</v>
      </c>
      <c r="I29" s="5">
        <f t="shared" si="24"/>
        <v>0.99970000000000003</v>
      </c>
      <c r="K29" s="29" t="str">
        <f t="shared" si="15"/>
        <v>AA-</v>
      </c>
      <c r="L29" s="72">
        <f t="shared" si="16"/>
        <v>2.8999999999999998E-3</v>
      </c>
      <c r="M29" s="73">
        <f t="shared" ref="M29:R29" si="25">1-M13</f>
        <v>0.99970000000000003</v>
      </c>
      <c r="N29" s="73">
        <f t="shared" si="25"/>
        <v>0.99970000000000003</v>
      </c>
      <c r="O29" s="73">
        <f t="shared" si="25"/>
        <v>0.99970000000000003</v>
      </c>
      <c r="P29" s="73">
        <f t="shared" si="25"/>
        <v>0.99970000000000003</v>
      </c>
      <c r="Q29" s="73">
        <f t="shared" si="25"/>
        <v>0.99970000000000003</v>
      </c>
      <c r="R29" s="73">
        <f t="shared" si="25"/>
        <v>0.99970000000000003</v>
      </c>
      <c r="T29" s="33" t="str">
        <f t="shared" si="18"/>
        <v>AA-</v>
      </c>
      <c r="U29" s="41">
        <f t="shared" si="19"/>
        <v>2.8999999999999998E-3</v>
      </c>
      <c r="V29" s="74">
        <f t="shared" ref="V29:AA29" si="26">1-V13</f>
        <v>0.99970000000000003</v>
      </c>
      <c r="W29" s="74">
        <f t="shared" si="26"/>
        <v>0.99970000000000003</v>
      </c>
      <c r="X29" s="74">
        <f t="shared" si="26"/>
        <v>0.99970000000000003</v>
      </c>
      <c r="Y29" s="74">
        <f t="shared" si="26"/>
        <v>0.99970000000000003</v>
      </c>
      <c r="Z29" s="74">
        <f t="shared" si="26"/>
        <v>0.99970000000000003</v>
      </c>
      <c r="AA29" s="74">
        <f t="shared" si="26"/>
        <v>0.99970000000000003</v>
      </c>
    </row>
    <row r="30" spans="2:27" x14ac:dyDescent="0.25">
      <c r="B30" s="3" t="str">
        <f t="shared" si="13"/>
        <v>A+</v>
      </c>
      <c r="C30" s="39">
        <f t="shared" si="13"/>
        <v>6.6E-3</v>
      </c>
      <c r="D30" s="5">
        <f t="shared" ref="D30:I30" si="27">1-D14</f>
        <v>0.99931082182322872</v>
      </c>
      <c r="E30" s="5">
        <f t="shared" si="27"/>
        <v>0.99962120600890103</v>
      </c>
      <c r="F30" s="5">
        <f t="shared" si="27"/>
        <v>0.99970000000000003</v>
      </c>
      <c r="G30" s="5">
        <f t="shared" si="27"/>
        <v>0.99970000000000003</v>
      </c>
      <c r="H30" s="5">
        <f t="shared" si="27"/>
        <v>0.99970000000000003</v>
      </c>
      <c r="I30" s="5">
        <f t="shared" si="27"/>
        <v>0.99970000000000003</v>
      </c>
      <c r="K30" s="29" t="str">
        <f t="shared" si="15"/>
        <v>A+</v>
      </c>
      <c r="L30" s="72">
        <f t="shared" si="16"/>
        <v>6.6E-3</v>
      </c>
      <c r="M30" s="73">
        <f t="shared" ref="M30:R30" si="28">1-M14</f>
        <v>0.99940419775935352</v>
      </c>
      <c r="N30" s="73">
        <f t="shared" si="28"/>
        <v>0.99969423591731243</v>
      </c>
      <c r="O30" s="73">
        <f t="shared" si="28"/>
        <v>0.99970000000000003</v>
      </c>
      <c r="P30" s="73">
        <f t="shared" si="28"/>
        <v>0.99970000000000003</v>
      </c>
      <c r="Q30" s="73">
        <f t="shared" si="28"/>
        <v>0.99970000000000003</v>
      </c>
      <c r="R30" s="73">
        <f t="shared" si="28"/>
        <v>0.99970000000000003</v>
      </c>
      <c r="T30" s="33" t="str">
        <f t="shared" si="18"/>
        <v>A+</v>
      </c>
      <c r="U30" s="41">
        <f t="shared" si="19"/>
        <v>6.6E-3</v>
      </c>
      <c r="V30" s="74">
        <f t="shared" ref="V30:AA30" si="29">1-V14</f>
        <v>0.99920410955396244</v>
      </c>
      <c r="W30" s="74">
        <f t="shared" si="29"/>
        <v>0.99953224573226962</v>
      </c>
      <c r="X30" s="74">
        <f t="shared" si="29"/>
        <v>0.99970000000000003</v>
      </c>
      <c r="Y30" s="74">
        <f t="shared" si="29"/>
        <v>0.99970000000000003</v>
      </c>
      <c r="Z30" s="74">
        <f t="shared" si="29"/>
        <v>0.99970000000000003</v>
      </c>
      <c r="AA30" s="74">
        <f t="shared" si="29"/>
        <v>0.99970000000000003</v>
      </c>
    </row>
    <row r="31" spans="2:27" x14ac:dyDescent="0.25">
      <c r="B31" s="3" t="str">
        <f t="shared" si="13"/>
        <v>A</v>
      </c>
      <c r="C31" s="39">
        <f t="shared" si="13"/>
        <v>6.6E-3</v>
      </c>
      <c r="D31" s="5">
        <f t="shared" ref="D31:I31" si="30">1-D15</f>
        <v>0.99931082182322872</v>
      </c>
      <c r="E31" s="5">
        <f t="shared" si="30"/>
        <v>0.99962120600890103</v>
      </c>
      <c r="F31" s="5">
        <f t="shared" si="30"/>
        <v>0.99970000000000003</v>
      </c>
      <c r="G31" s="5">
        <f t="shared" si="30"/>
        <v>0.99970000000000003</v>
      </c>
      <c r="H31" s="5">
        <f t="shared" si="30"/>
        <v>0.99970000000000003</v>
      </c>
      <c r="I31" s="5">
        <f t="shared" si="30"/>
        <v>0.99970000000000003</v>
      </c>
      <c r="K31" s="29" t="str">
        <f t="shared" si="15"/>
        <v>A</v>
      </c>
      <c r="L31" s="72">
        <f t="shared" si="16"/>
        <v>6.6E-3</v>
      </c>
      <c r="M31" s="73">
        <f t="shared" ref="M31:R31" si="31">1-M15</f>
        <v>0.99940419775935352</v>
      </c>
      <c r="N31" s="73">
        <f t="shared" si="31"/>
        <v>0.99969423591731243</v>
      </c>
      <c r="O31" s="73">
        <f t="shared" si="31"/>
        <v>0.99970000000000003</v>
      </c>
      <c r="P31" s="73">
        <f t="shared" si="31"/>
        <v>0.99970000000000003</v>
      </c>
      <c r="Q31" s="73">
        <f t="shared" si="31"/>
        <v>0.99970000000000003</v>
      </c>
      <c r="R31" s="73">
        <f t="shared" si="31"/>
        <v>0.99970000000000003</v>
      </c>
      <c r="T31" s="33" t="str">
        <f t="shared" si="18"/>
        <v>A</v>
      </c>
      <c r="U31" s="41">
        <f t="shared" si="19"/>
        <v>6.6E-3</v>
      </c>
      <c r="V31" s="74">
        <f t="shared" ref="V31:AA31" si="32">1-V15</f>
        <v>0.99920410955396244</v>
      </c>
      <c r="W31" s="74">
        <f t="shared" si="32"/>
        <v>0.99953224573226962</v>
      </c>
      <c r="X31" s="74">
        <f t="shared" si="32"/>
        <v>0.99970000000000003</v>
      </c>
      <c r="Y31" s="74">
        <f t="shared" si="32"/>
        <v>0.99970000000000003</v>
      </c>
      <c r="Z31" s="74">
        <f t="shared" si="32"/>
        <v>0.99970000000000003</v>
      </c>
      <c r="AA31" s="74">
        <f t="shared" si="32"/>
        <v>0.99970000000000003</v>
      </c>
    </row>
    <row r="32" spans="2:27" x14ac:dyDescent="0.25">
      <c r="B32" s="3" t="str">
        <f t="shared" si="13"/>
        <v>A-</v>
      </c>
      <c r="C32" s="39">
        <f t="shared" si="13"/>
        <v>6.6E-3</v>
      </c>
      <c r="D32" s="5">
        <f t="shared" ref="D32:I32" si="33">1-D16</f>
        <v>0.99931082182322872</v>
      </c>
      <c r="E32" s="5">
        <f t="shared" si="33"/>
        <v>0.99962120600890103</v>
      </c>
      <c r="F32" s="5">
        <f t="shared" si="33"/>
        <v>0.99970000000000003</v>
      </c>
      <c r="G32" s="5">
        <f t="shared" si="33"/>
        <v>0.99970000000000003</v>
      </c>
      <c r="H32" s="5">
        <f t="shared" si="33"/>
        <v>0.99970000000000003</v>
      </c>
      <c r="I32" s="5">
        <f t="shared" si="33"/>
        <v>0.99970000000000003</v>
      </c>
      <c r="K32" s="29" t="str">
        <f t="shared" si="15"/>
        <v>A-</v>
      </c>
      <c r="L32" s="72">
        <f t="shared" si="16"/>
        <v>6.6E-3</v>
      </c>
      <c r="M32" s="73">
        <f t="shared" ref="M32:R32" si="34">1-M16</f>
        <v>0.99940419775935352</v>
      </c>
      <c r="N32" s="73">
        <f t="shared" si="34"/>
        <v>0.99969423591731243</v>
      </c>
      <c r="O32" s="73">
        <f t="shared" si="34"/>
        <v>0.99970000000000003</v>
      </c>
      <c r="P32" s="73">
        <f t="shared" si="34"/>
        <v>0.99970000000000003</v>
      </c>
      <c r="Q32" s="73">
        <f t="shared" si="34"/>
        <v>0.99970000000000003</v>
      </c>
      <c r="R32" s="73">
        <f t="shared" si="34"/>
        <v>0.99970000000000003</v>
      </c>
      <c r="T32" s="33" t="str">
        <f t="shared" si="18"/>
        <v>A-</v>
      </c>
      <c r="U32" s="41">
        <f t="shared" si="19"/>
        <v>6.6E-3</v>
      </c>
      <c r="V32" s="74">
        <f t="shared" ref="V32:AA32" si="35">1-V16</f>
        <v>0.99920410955396244</v>
      </c>
      <c r="W32" s="74">
        <f t="shared" si="35"/>
        <v>0.99953224573226962</v>
      </c>
      <c r="X32" s="74">
        <f t="shared" si="35"/>
        <v>0.99970000000000003</v>
      </c>
      <c r="Y32" s="74">
        <f t="shared" si="35"/>
        <v>0.99970000000000003</v>
      </c>
      <c r="Z32" s="74">
        <f t="shared" si="35"/>
        <v>0.99970000000000003</v>
      </c>
      <c r="AA32" s="74">
        <f t="shared" si="35"/>
        <v>0.99970000000000003</v>
      </c>
    </row>
    <row r="33" spans="2:27" x14ac:dyDescent="0.25">
      <c r="B33" s="3" t="str">
        <f t="shared" si="13"/>
        <v>BBB+</v>
      </c>
      <c r="C33" s="39">
        <f t="shared" si="13"/>
        <v>2.2100000000000002E-2</v>
      </c>
      <c r="D33" s="5">
        <f t="shared" ref="D33:I33" si="36">1-D17</f>
        <v>0.99464660801801585</v>
      </c>
      <c r="E33" s="5">
        <f t="shared" si="36"/>
        <v>0.99649548700957935</v>
      </c>
      <c r="F33" s="5">
        <f t="shared" si="36"/>
        <v>0.9978326596560344</v>
      </c>
      <c r="G33" s="5">
        <f t="shared" si="36"/>
        <v>0.99877601654873815</v>
      </c>
      <c r="H33" s="5">
        <f t="shared" si="36"/>
        <v>0.99937000828140743</v>
      </c>
      <c r="I33" s="5">
        <f t="shared" si="36"/>
        <v>0.99970000000000003</v>
      </c>
      <c r="K33" s="29" t="str">
        <f t="shared" si="15"/>
        <v>BBB+</v>
      </c>
      <c r="L33" s="72">
        <f t="shared" si="16"/>
        <v>2.2100000000000002E-2</v>
      </c>
      <c r="M33" s="73">
        <f t="shared" ref="M33:R33" si="37">1-M17</f>
        <v>0.9951707823151601</v>
      </c>
      <c r="N33" s="73">
        <f t="shared" si="37"/>
        <v>0.99698864187006475</v>
      </c>
      <c r="O33" s="73">
        <f t="shared" si="37"/>
        <v>0.99824127288903497</v>
      </c>
      <c r="P33" s="73">
        <f t="shared" si="37"/>
        <v>0.99907450780122531</v>
      </c>
      <c r="Q33" s="73">
        <f t="shared" si="37"/>
        <v>0.9995625170376119</v>
      </c>
      <c r="R33" s="73">
        <f t="shared" si="37"/>
        <v>0.99970000000000003</v>
      </c>
      <c r="T33" s="33" t="str">
        <f t="shared" si="18"/>
        <v>BBB+</v>
      </c>
      <c r="U33" s="41">
        <f t="shared" si="19"/>
        <v>2.2100000000000002E-2</v>
      </c>
      <c r="V33" s="74">
        <f t="shared" ref="V33:AA33" si="38">1-V17</f>
        <v>0.99407244093933445</v>
      </c>
      <c r="W33" s="74">
        <f t="shared" si="38"/>
        <v>0.99593097705432765</v>
      </c>
      <c r="X33" s="74">
        <f t="shared" si="38"/>
        <v>0.99733976816122805</v>
      </c>
      <c r="Y33" s="74">
        <f t="shared" si="38"/>
        <v>0.99839171057351661</v>
      </c>
      <c r="Z33" s="74">
        <f t="shared" si="38"/>
        <v>0.99910174952925745</v>
      </c>
      <c r="AA33" s="74">
        <f t="shared" si="38"/>
        <v>0.9995488018782428</v>
      </c>
    </row>
    <row r="34" spans="2:27" x14ac:dyDescent="0.25">
      <c r="B34" s="3" t="str">
        <f t="shared" si="13"/>
        <v>BBB</v>
      </c>
      <c r="C34" s="39">
        <f t="shared" si="13"/>
        <v>2.2100000000000002E-2</v>
      </c>
      <c r="D34" s="5">
        <f t="shared" ref="D34:I34" si="39">1-D18</f>
        <v>0.99464660801801585</v>
      </c>
      <c r="E34" s="5">
        <f t="shared" si="39"/>
        <v>0.99649548700957935</v>
      </c>
      <c r="F34" s="5">
        <f t="shared" si="39"/>
        <v>0.9978326596560344</v>
      </c>
      <c r="G34" s="5">
        <f t="shared" si="39"/>
        <v>0.99877601654873815</v>
      </c>
      <c r="H34" s="5">
        <f t="shared" si="39"/>
        <v>0.99937000828140743</v>
      </c>
      <c r="I34" s="5">
        <f t="shared" si="39"/>
        <v>0.99970000000000003</v>
      </c>
      <c r="K34" s="29" t="str">
        <f t="shared" si="15"/>
        <v>BBB</v>
      </c>
      <c r="L34" s="72">
        <f t="shared" si="16"/>
        <v>2.2100000000000002E-2</v>
      </c>
      <c r="M34" s="73">
        <f t="shared" ref="M34:R34" si="40">1-M18</f>
        <v>0.9951707823151601</v>
      </c>
      <c r="N34" s="73">
        <f t="shared" si="40"/>
        <v>0.99698864187006475</v>
      </c>
      <c r="O34" s="73">
        <f t="shared" si="40"/>
        <v>0.99824127288903497</v>
      </c>
      <c r="P34" s="73">
        <f t="shared" si="40"/>
        <v>0.99907450780122531</v>
      </c>
      <c r="Q34" s="73">
        <f t="shared" si="40"/>
        <v>0.9995625170376119</v>
      </c>
      <c r="R34" s="73">
        <f t="shared" si="40"/>
        <v>0.99970000000000003</v>
      </c>
      <c r="T34" s="33" t="str">
        <f t="shared" si="18"/>
        <v>BBB</v>
      </c>
      <c r="U34" s="41">
        <f t="shared" si="19"/>
        <v>2.2100000000000002E-2</v>
      </c>
      <c r="V34" s="74">
        <f t="shared" ref="V34:AA34" si="41">1-V18</f>
        <v>0.99407244093933445</v>
      </c>
      <c r="W34" s="74">
        <f t="shared" si="41"/>
        <v>0.99593097705432765</v>
      </c>
      <c r="X34" s="74">
        <f t="shared" si="41"/>
        <v>0.99733976816122805</v>
      </c>
      <c r="Y34" s="74">
        <f t="shared" si="41"/>
        <v>0.99839171057351661</v>
      </c>
      <c r="Z34" s="74">
        <f t="shared" si="41"/>
        <v>0.99910174952925745</v>
      </c>
      <c r="AA34" s="74">
        <f t="shared" si="41"/>
        <v>0.9995488018782428</v>
      </c>
    </row>
    <row r="35" spans="2:27" x14ac:dyDescent="0.25">
      <c r="B35" s="3" t="str">
        <f t="shared" si="13"/>
        <v>BBB-</v>
      </c>
      <c r="C35" s="39">
        <f t="shared" si="13"/>
        <v>2.2100000000000002E-2</v>
      </c>
      <c r="D35" s="5">
        <f t="shared" ref="D35:I35" si="42">1-D19</f>
        <v>0.99464660801801585</v>
      </c>
      <c r="E35" s="5">
        <f t="shared" si="42"/>
        <v>0.99649548700957935</v>
      </c>
      <c r="F35" s="5">
        <f t="shared" si="42"/>
        <v>0.9978326596560344</v>
      </c>
      <c r="G35" s="5">
        <f t="shared" si="42"/>
        <v>0.99877601654873815</v>
      </c>
      <c r="H35" s="5">
        <f t="shared" si="42"/>
        <v>0.99937000828140743</v>
      </c>
      <c r="I35" s="5">
        <f t="shared" si="42"/>
        <v>0.99970000000000003</v>
      </c>
      <c r="K35" s="29" t="str">
        <f t="shared" si="15"/>
        <v>BBB-</v>
      </c>
      <c r="L35" s="72">
        <f t="shared" si="16"/>
        <v>2.2100000000000002E-2</v>
      </c>
      <c r="M35" s="73">
        <f t="shared" ref="M35:R35" si="43">1-M19</f>
        <v>0.9951707823151601</v>
      </c>
      <c r="N35" s="73">
        <f t="shared" si="43"/>
        <v>0.99698864187006475</v>
      </c>
      <c r="O35" s="73">
        <f t="shared" si="43"/>
        <v>0.99824127288903497</v>
      </c>
      <c r="P35" s="73">
        <f t="shared" si="43"/>
        <v>0.99907450780122531</v>
      </c>
      <c r="Q35" s="73">
        <f t="shared" si="43"/>
        <v>0.9995625170376119</v>
      </c>
      <c r="R35" s="73">
        <f t="shared" si="43"/>
        <v>0.99970000000000003</v>
      </c>
      <c r="T35" s="33" t="str">
        <f t="shared" si="18"/>
        <v>BBB-</v>
      </c>
      <c r="U35" s="41">
        <f t="shared" si="19"/>
        <v>2.2100000000000002E-2</v>
      </c>
      <c r="V35" s="74">
        <f t="shared" ref="V35:AA35" si="44">1-V19</f>
        <v>0.99407244093933445</v>
      </c>
      <c r="W35" s="74">
        <f t="shared" si="44"/>
        <v>0.99593097705432765</v>
      </c>
      <c r="X35" s="74">
        <f t="shared" si="44"/>
        <v>0.99733976816122805</v>
      </c>
      <c r="Y35" s="74">
        <f t="shared" si="44"/>
        <v>0.99839171057351661</v>
      </c>
      <c r="Z35" s="74">
        <f t="shared" si="44"/>
        <v>0.99910174952925745</v>
      </c>
      <c r="AA35" s="74">
        <f t="shared" si="44"/>
        <v>0.9995488018782428</v>
      </c>
    </row>
    <row r="36" spans="2:27" x14ac:dyDescent="0.25">
      <c r="B36" s="3" t="str">
        <f t="shared" si="13"/>
        <v>BB+</v>
      </c>
      <c r="C36" s="39">
        <f t="shared" si="13"/>
        <v>9.9199999999999997E-2</v>
      </c>
      <c r="D36" s="5">
        <f t="shared" ref="D36:I36" si="45">1-D20</f>
        <v>0.95305290723504987</v>
      </c>
      <c r="E36" s="5">
        <f t="shared" si="45"/>
        <v>0.96390290296658321</v>
      </c>
      <c r="F36" s="5">
        <f t="shared" si="45"/>
        <v>0.97324583550788368</v>
      </c>
      <c r="G36" s="5">
        <f t="shared" si="45"/>
        <v>0.98129584567574313</v>
      </c>
      <c r="H36" s="5">
        <f t="shared" si="45"/>
        <v>0.98768929094307811</v>
      </c>
      <c r="I36" s="5">
        <f t="shared" si="45"/>
        <v>0.99252814227617048</v>
      </c>
      <c r="K36" s="29" t="str">
        <f t="shared" si="15"/>
        <v>BB+</v>
      </c>
      <c r="L36" s="72">
        <f t="shared" si="16"/>
        <v>9.9199999999999997E-2</v>
      </c>
      <c r="M36" s="73">
        <f t="shared" ref="M36:R36" si="46">1-M20</f>
        <v>0.95595477308093635</v>
      </c>
      <c r="N36" s="73">
        <f t="shared" si="46"/>
        <v>0.96715358707841725</v>
      </c>
      <c r="O36" s="73">
        <f t="shared" si="46"/>
        <v>0.97652263943640238</v>
      </c>
      <c r="P36" s="73">
        <f t="shared" si="46"/>
        <v>0.98431080685552608</v>
      </c>
      <c r="Q36" s="73">
        <f t="shared" si="46"/>
        <v>0.99022446461538927</v>
      </c>
      <c r="R36" s="73">
        <f t="shared" si="46"/>
        <v>0.99445654347886059</v>
      </c>
      <c r="T36" s="33" t="str">
        <f t="shared" si="18"/>
        <v>BB+</v>
      </c>
      <c r="U36" s="41">
        <f t="shared" si="19"/>
        <v>9.9199999999999997E-2</v>
      </c>
      <c r="V36" s="74">
        <f t="shared" ref="V36:AA36" si="47">1-V20</f>
        <v>0.94999968198065088</v>
      </c>
      <c r="W36" s="74">
        <f t="shared" si="47"/>
        <v>0.96039336563729183</v>
      </c>
      <c r="X36" s="74">
        <f t="shared" si="47"/>
        <v>0.96959558240606947</v>
      </c>
      <c r="Y36" s="74">
        <f t="shared" si="47"/>
        <v>0.97780125926825745</v>
      </c>
      <c r="Z36" s="74">
        <f t="shared" si="47"/>
        <v>0.98460317122820074</v>
      </c>
      <c r="AA36" s="74">
        <f t="shared" si="47"/>
        <v>0.99003154327441589</v>
      </c>
    </row>
    <row r="37" spans="2:27" x14ac:dyDescent="0.25">
      <c r="B37" s="3" t="str">
        <f t="shared" si="13"/>
        <v>Unrated</v>
      </c>
      <c r="C37" s="39">
        <f t="shared" si="13"/>
        <v>9.9199999999999997E-2</v>
      </c>
      <c r="D37" s="5">
        <f t="shared" ref="D37:I37" si="48">1-D21</f>
        <v>0.95305290723504987</v>
      </c>
      <c r="E37" s="5">
        <f t="shared" si="48"/>
        <v>0.96390290296658321</v>
      </c>
      <c r="F37" s="5">
        <f t="shared" si="48"/>
        <v>0.97324583550788368</v>
      </c>
      <c r="G37" s="5">
        <f t="shared" si="48"/>
        <v>0.98129584567574313</v>
      </c>
      <c r="H37" s="5">
        <f t="shared" si="48"/>
        <v>0.98768929094307811</v>
      </c>
      <c r="I37" s="5">
        <f t="shared" si="48"/>
        <v>0.99252814227617048</v>
      </c>
      <c r="K37" s="29" t="str">
        <f t="shared" si="15"/>
        <v>Unrated</v>
      </c>
      <c r="L37" s="72">
        <f t="shared" si="16"/>
        <v>9.9199999999999997E-2</v>
      </c>
      <c r="M37" s="73">
        <f t="shared" ref="M37:R37" si="49">1-M21</f>
        <v>0.95595477308093635</v>
      </c>
      <c r="N37" s="73">
        <f t="shared" si="49"/>
        <v>0.96715358707841725</v>
      </c>
      <c r="O37" s="73">
        <f t="shared" si="49"/>
        <v>0.97652263943640238</v>
      </c>
      <c r="P37" s="73">
        <f t="shared" si="49"/>
        <v>0.98431080685552608</v>
      </c>
      <c r="Q37" s="73">
        <f t="shared" si="49"/>
        <v>0.99022446461538927</v>
      </c>
      <c r="R37" s="73">
        <f t="shared" si="49"/>
        <v>0.99445654347886059</v>
      </c>
      <c r="T37" s="33" t="str">
        <f t="shared" si="18"/>
        <v>Unrated</v>
      </c>
      <c r="U37" s="41">
        <f t="shared" si="19"/>
        <v>9.9199999999999997E-2</v>
      </c>
      <c r="V37" s="74">
        <f t="shared" ref="V37:AA37" si="50">1-V21</f>
        <v>0.94999968198065088</v>
      </c>
      <c r="W37" s="74">
        <f t="shared" si="50"/>
        <v>0.96039336563729183</v>
      </c>
      <c r="X37" s="74">
        <f t="shared" si="50"/>
        <v>0.96959558240606947</v>
      </c>
      <c r="Y37" s="74">
        <f t="shared" si="50"/>
        <v>0.97780125926825745</v>
      </c>
      <c r="Z37" s="74">
        <f t="shared" si="50"/>
        <v>0.98460317122820074</v>
      </c>
      <c r="AA37" s="74">
        <f t="shared" si="50"/>
        <v>0.99003154327441589</v>
      </c>
    </row>
    <row r="39" spans="2:27" x14ac:dyDescent="0.25">
      <c r="E39" s="53"/>
    </row>
    <row r="40" spans="2:27" x14ac:dyDescent="0.25">
      <c r="B40" s="25" t="s">
        <v>18</v>
      </c>
      <c r="C40" s="75" t="s">
        <v>80</v>
      </c>
      <c r="K40" s="70" t="s">
        <v>19</v>
      </c>
      <c r="L40" s="75" t="s">
        <v>80</v>
      </c>
      <c r="T40" s="32" t="s">
        <v>20</v>
      </c>
      <c r="U40" s="75" t="s">
        <v>80</v>
      </c>
    </row>
    <row r="41" spans="2:27" x14ac:dyDescent="0.25">
      <c r="B41" s="2" t="s">
        <v>25</v>
      </c>
      <c r="C41" s="2" t="s">
        <v>26</v>
      </c>
      <c r="D41" s="2">
        <v>2026</v>
      </c>
      <c r="E41" s="2">
        <f t="shared" ref="E41:I41" si="51">D41+1</f>
        <v>2027</v>
      </c>
      <c r="F41" s="2">
        <f t="shared" si="51"/>
        <v>2028</v>
      </c>
      <c r="G41" s="2">
        <f t="shared" si="51"/>
        <v>2029</v>
      </c>
      <c r="H41" s="2">
        <f t="shared" si="51"/>
        <v>2030</v>
      </c>
      <c r="I41" s="2">
        <f t="shared" si="51"/>
        <v>2031</v>
      </c>
      <c r="K41" s="28" t="s">
        <v>25</v>
      </c>
      <c r="L41" s="71" t="s">
        <v>26</v>
      </c>
      <c r="M41" s="28">
        <v>2026</v>
      </c>
      <c r="N41" s="28">
        <f t="shared" ref="N41:R41" si="52">M41+1</f>
        <v>2027</v>
      </c>
      <c r="O41" s="28">
        <f t="shared" si="52"/>
        <v>2028</v>
      </c>
      <c r="P41" s="28">
        <f t="shared" si="52"/>
        <v>2029</v>
      </c>
      <c r="Q41" s="28">
        <f t="shared" si="52"/>
        <v>2030</v>
      </c>
      <c r="R41" s="28">
        <f t="shared" si="52"/>
        <v>2031</v>
      </c>
      <c r="T41" s="32" t="s">
        <v>25</v>
      </c>
      <c r="U41" s="32" t="s">
        <v>26</v>
      </c>
      <c r="V41" s="32">
        <v>2026</v>
      </c>
      <c r="W41" s="32">
        <f t="shared" ref="W41:AA41" si="53">V41+1</f>
        <v>2027</v>
      </c>
      <c r="X41" s="32">
        <f t="shared" si="53"/>
        <v>2028</v>
      </c>
      <c r="Y41" s="32">
        <f t="shared" si="53"/>
        <v>2029</v>
      </c>
      <c r="Z41" s="32">
        <f t="shared" si="53"/>
        <v>2030</v>
      </c>
      <c r="AA41" s="32">
        <f t="shared" si="53"/>
        <v>2031</v>
      </c>
    </row>
    <row r="42" spans="2:27" x14ac:dyDescent="0.25">
      <c r="B42" s="3" t="str">
        <f>B26</f>
        <v>AAA</v>
      </c>
      <c r="C42" s="39">
        <f>C10</f>
        <v>2.9999999999999997E-4</v>
      </c>
      <c r="D42" s="5">
        <f>PRODUCT(D26)</f>
        <v>0.99970000000000003</v>
      </c>
      <c r="E42" s="5">
        <f t="shared" ref="E42:I42" si="54">PRODUCT(E26)</f>
        <v>0.99970000000000003</v>
      </c>
      <c r="F42" s="5">
        <f t="shared" si="54"/>
        <v>0.99970000000000003</v>
      </c>
      <c r="G42" s="5">
        <f t="shared" si="54"/>
        <v>0.99970000000000003</v>
      </c>
      <c r="H42" s="5">
        <f t="shared" si="54"/>
        <v>0.99970000000000003</v>
      </c>
      <c r="I42" s="5">
        <f t="shared" si="54"/>
        <v>0.99970000000000003</v>
      </c>
      <c r="K42" s="29" t="str">
        <f>B42</f>
        <v>AAA</v>
      </c>
      <c r="L42" s="72">
        <f>C42</f>
        <v>2.9999999999999997E-4</v>
      </c>
      <c r="M42" s="73">
        <f>PRODUCT(M26)</f>
        <v>0.99970000000000003</v>
      </c>
      <c r="N42" s="73">
        <f t="shared" ref="N42:R42" si="55">PRODUCT(N26)</f>
        <v>0.99970000000000003</v>
      </c>
      <c r="O42" s="73">
        <f t="shared" si="55"/>
        <v>0.99970000000000003</v>
      </c>
      <c r="P42" s="73">
        <f t="shared" si="55"/>
        <v>0.99970000000000003</v>
      </c>
      <c r="Q42" s="73">
        <f t="shared" si="55"/>
        <v>0.99970000000000003</v>
      </c>
      <c r="R42" s="73">
        <f t="shared" si="55"/>
        <v>0.99970000000000003</v>
      </c>
      <c r="T42" s="33" t="str">
        <f>K42</f>
        <v>AAA</v>
      </c>
      <c r="U42" s="41">
        <f>L42</f>
        <v>2.9999999999999997E-4</v>
      </c>
      <c r="V42" s="74">
        <f>PRODUCT(V26)</f>
        <v>0.99970000000000003</v>
      </c>
      <c r="W42" s="74">
        <f t="shared" ref="W42:AA42" si="56">PRODUCT(W26)</f>
        <v>0.99970000000000003</v>
      </c>
      <c r="X42" s="74">
        <f t="shared" si="56"/>
        <v>0.99970000000000003</v>
      </c>
      <c r="Y42" s="74">
        <f t="shared" si="56"/>
        <v>0.99970000000000003</v>
      </c>
      <c r="Z42" s="74">
        <f t="shared" si="56"/>
        <v>0.99970000000000003</v>
      </c>
      <c r="AA42" s="74">
        <f t="shared" si="56"/>
        <v>0.99970000000000003</v>
      </c>
    </row>
    <row r="43" spans="2:27" x14ac:dyDescent="0.25">
      <c r="B43" s="3" t="str">
        <f t="shared" ref="B43:B53" si="57">B27</f>
        <v>AA+</v>
      </c>
      <c r="C43" s="39">
        <f t="shared" ref="C43:C52" si="58">C11</f>
        <v>2.8999999999999998E-3</v>
      </c>
      <c r="D43" s="5">
        <f t="shared" ref="D43:I43" si="59">PRODUCT(D27)</f>
        <v>0.99970000000000003</v>
      </c>
      <c r="E43" s="5">
        <f t="shared" si="59"/>
        <v>0.99970000000000003</v>
      </c>
      <c r="F43" s="5">
        <f t="shared" si="59"/>
        <v>0.99970000000000003</v>
      </c>
      <c r="G43" s="5">
        <f t="shared" si="59"/>
        <v>0.99970000000000003</v>
      </c>
      <c r="H43" s="5">
        <f t="shared" si="59"/>
        <v>0.99970000000000003</v>
      </c>
      <c r="I43" s="5">
        <f t="shared" si="59"/>
        <v>0.99970000000000003</v>
      </c>
      <c r="K43" s="29" t="str">
        <f t="shared" ref="K43:K53" si="60">B43</f>
        <v>AA+</v>
      </c>
      <c r="L43" s="72">
        <f t="shared" ref="L43:L53" si="61">C43</f>
        <v>2.8999999999999998E-3</v>
      </c>
      <c r="M43" s="73">
        <f t="shared" ref="M43:R43" si="62">PRODUCT(M27)</f>
        <v>0.99970000000000003</v>
      </c>
      <c r="N43" s="73">
        <f t="shared" si="62"/>
        <v>0.99970000000000003</v>
      </c>
      <c r="O43" s="73">
        <f t="shared" si="62"/>
        <v>0.99970000000000003</v>
      </c>
      <c r="P43" s="73">
        <f t="shared" si="62"/>
        <v>0.99970000000000003</v>
      </c>
      <c r="Q43" s="73">
        <f t="shared" si="62"/>
        <v>0.99970000000000003</v>
      </c>
      <c r="R43" s="73">
        <f t="shared" si="62"/>
        <v>0.99970000000000003</v>
      </c>
      <c r="T43" s="33" t="str">
        <f t="shared" ref="T43:T53" si="63">K43</f>
        <v>AA+</v>
      </c>
      <c r="U43" s="41">
        <f t="shared" ref="U43:U53" si="64">L43</f>
        <v>2.8999999999999998E-3</v>
      </c>
      <c r="V43" s="74">
        <f t="shared" ref="V43:AA43" si="65">PRODUCT(V27)</f>
        <v>0.99970000000000003</v>
      </c>
      <c r="W43" s="74">
        <f t="shared" si="65"/>
        <v>0.99970000000000003</v>
      </c>
      <c r="X43" s="74">
        <f t="shared" si="65"/>
        <v>0.99970000000000003</v>
      </c>
      <c r="Y43" s="74">
        <f t="shared" si="65"/>
        <v>0.99970000000000003</v>
      </c>
      <c r="Z43" s="74">
        <f t="shared" si="65"/>
        <v>0.99970000000000003</v>
      </c>
      <c r="AA43" s="74">
        <f t="shared" si="65"/>
        <v>0.99970000000000003</v>
      </c>
    </row>
    <row r="44" spans="2:27" x14ac:dyDescent="0.25">
      <c r="B44" s="3" t="str">
        <f t="shared" si="57"/>
        <v>AA</v>
      </c>
      <c r="C44" s="39">
        <f t="shared" si="58"/>
        <v>2.8999999999999998E-3</v>
      </c>
      <c r="D44" s="5">
        <f t="shared" ref="D44:I44" si="66">PRODUCT(D28)</f>
        <v>0.99970000000000003</v>
      </c>
      <c r="E44" s="5">
        <f t="shared" si="66"/>
        <v>0.99970000000000003</v>
      </c>
      <c r="F44" s="5">
        <f t="shared" si="66"/>
        <v>0.99970000000000003</v>
      </c>
      <c r="G44" s="5">
        <f t="shared" si="66"/>
        <v>0.99970000000000003</v>
      </c>
      <c r="H44" s="5">
        <f t="shared" si="66"/>
        <v>0.99970000000000003</v>
      </c>
      <c r="I44" s="5">
        <f t="shared" si="66"/>
        <v>0.99970000000000003</v>
      </c>
      <c r="K44" s="29" t="str">
        <f t="shared" si="60"/>
        <v>AA</v>
      </c>
      <c r="L44" s="72">
        <f t="shared" si="61"/>
        <v>2.8999999999999998E-3</v>
      </c>
      <c r="M44" s="73">
        <f t="shared" ref="M44:R44" si="67">PRODUCT(M28)</f>
        <v>0.99970000000000003</v>
      </c>
      <c r="N44" s="73">
        <f t="shared" si="67"/>
        <v>0.99970000000000003</v>
      </c>
      <c r="O44" s="73">
        <f t="shared" si="67"/>
        <v>0.99970000000000003</v>
      </c>
      <c r="P44" s="73">
        <f t="shared" si="67"/>
        <v>0.99970000000000003</v>
      </c>
      <c r="Q44" s="73">
        <f t="shared" si="67"/>
        <v>0.99970000000000003</v>
      </c>
      <c r="R44" s="73">
        <f t="shared" si="67"/>
        <v>0.99970000000000003</v>
      </c>
      <c r="T44" s="33" t="str">
        <f t="shared" si="63"/>
        <v>AA</v>
      </c>
      <c r="U44" s="41">
        <f t="shared" si="64"/>
        <v>2.8999999999999998E-3</v>
      </c>
      <c r="V44" s="74">
        <f t="shared" ref="V44:AA44" si="68">PRODUCT(V28)</f>
        <v>0.99970000000000003</v>
      </c>
      <c r="W44" s="74">
        <f t="shared" si="68"/>
        <v>0.99970000000000003</v>
      </c>
      <c r="X44" s="74">
        <f t="shared" si="68"/>
        <v>0.99970000000000003</v>
      </c>
      <c r="Y44" s="74">
        <f t="shared" si="68"/>
        <v>0.99970000000000003</v>
      </c>
      <c r="Z44" s="74">
        <f t="shared" si="68"/>
        <v>0.99970000000000003</v>
      </c>
      <c r="AA44" s="74">
        <f t="shared" si="68"/>
        <v>0.99970000000000003</v>
      </c>
    </row>
    <row r="45" spans="2:27" x14ac:dyDescent="0.25">
      <c r="B45" s="3" t="str">
        <f t="shared" si="57"/>
        <v>AA-</v>
      </c>
      <c r="C45" s="39">
        <f t="shared" si="58"/>
        <v>2.8999999999999998E-3</v>
      </c>
      <c r="D45" s="5">
        <f t="shared" ref="D45:I45" si="69">PRODUCT(D29)</f>
        <v>0.99970000000000003</v>
      </c>
      <c r="E45" s="5">
        <f t="shared" si="69"/>
        <v>0.99970000000000003</v>
      </c>
      <c r="F45" s="5">
        <f t="shared" si="69"/>
        <v>0.99970000000000003</v>
      </c>
      <c r="G45" s="5">
        <f t="shared" si="69"/>
        <v>0.99970000000000003</v>
      </c>
      <c r="H45" s="5">
        <f t="shared" si="69"/>
        <v>0.99970000000000003</v>
      </c>
      <c r="I45" s="5">
        <f t="shared" si="69"/>
        <v>0.99970000000000003</v>
      </c>
      <c r="K45" s="29" t="str">
        <f t="shared" si="60"/>
        <v>AA-</v>
      </c>
      <c r="L45" s="72">
        <f t="shared" si="61"/>
        <v>2.8999999999999998E-3</v>
      </c>
      <c r="M45" s="73">
        <f t="shared" ref="M45:R45" si="70">PRODUCT(M29)</f>
        <v>0.99970000000000003</v>
      </c>
      <c r="N45" s="73">
        <f t="shared" si="70"/>
        <v>0.99970000000000003</v>
      </c>
      <c r="O45" s="73">
        <f t="shared" si="70"/>
        <v>0.99970000000000003</v>
      </c>
      <c r="P45" s="73">
        <f t="shared" si="70"/>
        <v>0.99970000000000003</v>
      </c>
      <c r="Q45" s="73">
        <f t="shared" si="70"/>
        <v>0.99970000000000003</v>
      </c>
      <c r="R45" s="73">
        <f t="shared" si="70"/>
        <v>0.99970000000000003</v>
      </c>
      <c r="T45" s="33" t="str">
        <f t="shared" si="63"/>
        <v>AA-</v>
      </c>
      <c r="U45" s="41">
        <f t="shared" si="64"/>
        <v>2.8999999999999998E-3</v>
      </c>
      <c r="V45" s="74">
        <f t="shared" ref="V45:AA45" si="71">PRODUCT(V29)</f>
        <v>0.99970000000000003</v>
      </c>
      <c r="W45" s="74">
        <f t="shared" si="71"/>
        <v>0.99970000000000003</v>
      </c>
      <c r="X45" s="74">
        <f t="shared" si="71"/>
        <v>0.99970000000000003</v>
      </c>
      <c r="Y45" s="74">
        <f t="shared" si="71"/>
        <v>0.99970000000000003</v>
      </c>
      <c r="Z45" s="74">
        <f t="shared" si="71"/>
        <v>0.99970000000000003</v>
      </c>
      <c r="AA45" s="74">
        <f t="shared" si="71"/>
        <v>0.99970000000000003</v>
      </c>
    </row>
    <row r="46" spans="2:27" x14ac:dyDescent="0.25">
      <c r="B46" s="3" t="str">
        <f t="shared" si="57"/>
        <v>A+</v>
      </c>
      <c r="C46" s="39">
        <f t="shared" si="58"/>
        <v>6.6E-3</v>
      </c>
      <c r="D46" s="5">
        <f t="shared" ref="D46:I46" si="72">PRODUCT(D30)</f>
        <v>0.99931082182322872</v>
      </c>
      <c r="E46" s="5">
        <f t="shared" si="72"/>
        <v>0.99962120600890103</v>
      </c>
      <c r="F46" s="5">
        <f t="shared" si="72"/>
        <v>0.99970000000000003</v>
      </c>
      <c r="G46" s="5">
        <f t="shared" si="72"/>
        <v>0.99970000000000003</v>
      </c>
      <c r="H46" s="5">
        <f t="shared" si="72"/>
        <v>0.99970000000000003</v>
      </c>
      <c r="I46" s="5">
        <f t="shared" si="72"/>
        <v>0.99970000000000003</v>
      </c>
      <c r="K46" s="29" t="str">
        <f t="shared" si="60"/>
        <v>A+</v>
      </c>
      <c r="L46" s="72">
        <f t="shared" si="61"/>
        <v>6.6E-3</v>
      </c>
      <c r="M46" s="73">
        <f t="shared" ref="M46:R46" si="73">PRODUCT(M30)</f>
        <v>0.99940419775935352</v>
      </c>
      <c r="N46" s="73">
        <f t="shared" si="73"/>
        <v>0.99969423591731243</v>
      </c>
      <c r="O46" s="73">
        <f t="shared" si="73"/>
        <v>0.99970000000000003</v>
      </c>
      <c r="P46" s="73">
        <f t="shared" si="73"/>
        <v>0.99970000000000003</v>
      </c>
      <c r="Q46" s="73">
        <f t="shared" si="73"/>
        <v>0.99970000000000003</v>
      </c>
      <c r="R46" s="73">
        <f t="shared" si="73"/>
        <v>0.99970000000000003</v>
      </c>
      <c r="T46" s="33" t="str">
        <f t="shared" si="63"/>
        <v>A+</v>
      </c>
      <c r="U46" s="41">
        <f t="shared" si="64"/>
        <v>6.6E-3</v>
      </c>
      <c r="V46" s="74">
        <f t="shared" ref="V46:AA46" si="74">PRODUCT(V30)</f>
        <v>0.99920410955396244</v>
      </c>
      <c r="W46" s="74">
        <f t="shared" si="74"/>
        <v>0.99953224573226962</v>
      </c>
      <c r="X46" s="74">
        <f t="shared" si="74"/>
        <v>0.99970000000000003</v>
      </c>
      <c r="Y46" s="74">
        <f t="shared" si="74"/>
        <v>0.99970000000000003</v>
      </c>
      <c r="Z46" s="74">
        <f t="shared" si="74"/>
        <v>0.99970000000000003</v>
      </c>
      <c r="AA46" s="74">
        <f t="shared" si="74"/>
        <v>0.99970000000000003</v>
      </c>
    </row>
    <row r="47" spans="2:27" x14ac:dyDescent="0.25">
      <c r="B47" s="3" t="str">
        <f t="shared" si="57"/>
        <v>A</v>
      </c>
      <c r="C47" s="39">
        <f t="shared" si="58"/>
        <v>6.6E-3</v>
      </c>
      <c r="D47" s="5">
        <f t="shared" ref="D47:I47" si="75">PRODUCT(D31)</f>
        <v>0.99931082182322872</v>
      </c>
      <c r="E47" s="5">
        <f t="shared" si="75"/>
        <v>0.99962120600890103</v>
      </c>
      <c r="F47" s="5">
        <f t="shared" si="75"/>
        <v>0.99970000000000003</v>
      </c>
      <c r="G47" s="5">
        <f t="shared" si="75"/>
        <v>0.99970000000000003</v>
      </c>
      <c r="H47" s="5">
        <f t="shared" si="75"/>
        <v>0.99970000000000003</v>
      </c>
      <c r="I47" s="5">
        <f t="shared" si="75"/>
        <v>0.99970000000000003</v>
      </c>
      <c r="K47" s="29" t="str">
        <f t="shared" si="60"/>
        <v>A</v>
      </c>
      <c r="L47" s="72">
        <f t="shared" si="61"/>
        <v>6.6E-3</v>
      </c>
      <c r="M47" s="73">
        <f t="shared" ref="M47:R47" si="76">PRODUCT(M31)</f>
        <v>0.99940419775935352</v>
      </c>
      <c r="N47" s="73">
        <f t="shared" si="76"/>
        <v>0.99969423591731243</v>
      </c>
      <c r="O47" s="73">
        <f t="shared" si="76"/>
        <v>0.99970000000000003</v>
      </c>
      <c r="P47" s="73">
        <f t="shared" si="76"/>
        <v>0.99970000000000003</v>
      </c>
      <c r="Q47" s="73">
        <f t="shared" si="76"/>
        <v>0.99970000000000003</v>
      </c>
      <c r="R47" s="73">
        <f t="shared" si="76"/>
        <v>0.99970000000000003</v>
      </c>
      <c r="T47" s="33" t="str">
        <f t="shared" si="63"/>
        <v>A</v>
      </c>
      <c r="U47" s="41">
        <f t="shared" si="64"/>
        <v>6.6E-3</v>
      </c>
      <c r="V47" s="74">
        <f t="shared" ref="V47:AA47" si="77">PRODUCT(V31)</f>
        <v>0.99920410955396244</v>
      </c>
      <c r="W47" s="74">
        <f t="shared" si="77"/>
        <v>0.99953224573226962</v>
      </c>
      <c r="X47" s="74">
        <f t="shared" si="77"/>
        <v>0.99970000000000003</v>
      </c>
      <c r="Y47" s="74">
        <f t="shared" si="77"/>
        <v>0.99970000000000003</v>
      </c>
      <c r="Z47" s="74">
        <f t="shared" si="77"/>
        <v>0.99970000000000003</v>
      </c>
      <c r="AA47" s="74">
        <f t="shared" si="77"/>
        <v>0.99970000000000003</v>
      </c>
    </row>
    <row r="48" spans="2:27" x14ac:dyDescent="0.25">
      <c r="B48" s="3" t="str">
        <f t="shared" si="57"/>
        <v>A-</v>
      </c>
      <c r="C48" s="39">
        <f t="shared" si="58"/>
        <v>6.6E-3</v>
      </c>
      <c r="D48" s="5">
        <f t="shared" ref="D48:I48" si="78">PRODUCT(D32)</f>
        <v>0.99931082182322872</v>
      </c>
      <c r="E48" s="5">
        <f t="shared" si="78"/>
        <v>0.99962120600890103</v>
      </c>
      <c r="F48" s="5">
        <f t="shared" si="78"/>
        <v>0.99970000000000003</v>
      </c>
      <c r="G48" s="5">
        <f t="shared" si="78"/>
        <v>0.99970000000000003</v>
      </c>
      <c r="H48" s="5">
        <f t="shared" si="78"/>
        <v>0.99970000000000003</v>
      </c>
      <c r="I48" s="5">
        <f t="shared" si="78"/>
        <v>0.99970000000000003</v>
      </c>
      <c r="K48" s="29" t="str">
        <f t="shared" si="60"/>
        <v>A-</v>
      </c>
      <c r="L48" s="72">
        <f t="shared" si="61"/>
        <v>6.6E-3</v>
      </c>
      <c r="M48" s="73">
        <f t="shared" ref="M48:R48" si="79">PRODUCT(M32)</f>
        <v>0.99940419775935352</v>
      </c>
      <c r="N48" s="73">
        <f t="shared" si="79"/>
        <v>0.99969423591731243</v>
      </c>
      <c r="O48" s="73">
        <f t="shared" si="79"/>
        <v>0.99970000000000003</v>
      </c>
      <c r="P48" s="73">
        <f t="shared" si="79"/>
        <v>0.99970000000000003</v>
      </c>
      <c r="Q48" s="73">
        <f t="shared" si="79"/>
        <v>0.99970000000000003</v>
      </c>
      <c r="R48" s="73">
        <f t="shared" si="79"/>
        <v>0.99970000000000003</v>
      </c>
      <c r="T48" s="33" t="str">
        <f t="shared" si="63"/>
        <v>A-</v>
      </c>
      <c r="U48" s="41">
        <f t="shared" si="64"/>
        <v>6.6E-3</v>
      </c>
      <c r="V48" s="74">
        <f t="shared" ref="V48:AA48" si="80">PRODUCT(V32)</f>
        <v>0.99920410955396244</v>
      </c>
      <c r="W48" s="74">
        <f t="shared" si="80"/>
        <v>0.99953224573226962</v>
      </c>
      <c r="X48" s="74">
        <f t="shared" si="80"/>
        <v>0.99970000000000003</v>
      </c>
      <c r="Y48" s="74">
        <f t="shared" si="80"/>
        <v>0.99970000000000003</v>
      </c>
      <c r="Z48" s="74">
        <f t="shared" si="80"/>
        <v>0.99970000000000003</v>
      </c>
      <c r="AA48" s="74">
        <f t="shared" si="80"/>
        <v>0.99970000000000003</v>
      </c>
    </row>
    <row r="49" spans="2:27" x14ac:dyDescent="0.25">
      <c r="B49" s="3" t="str">
        <f t="shared" si="57"/>
        <v>BBB+</v>
      </c>
      <c r="C49" s="39">
        <f t="shared" si="58"/>
        <v>2.2100000000000002E-2</v>
      </c>
      <c r="D49" s="5">
        <f t="shared" ref="D49:I49" si="81">PRODUCT(D33)</f>
        <v>0.99464660801801585</v>
      </c>
      <c r="E49" s="5">
        <f t="shared" si="81"/>
        <v>0.99649548700957935</v>
      </c>
      <c r="F49" s="5">
        <f t="shared" si="81"/>
        <v>0.9978326596560344</v>
      </c>
      <c r="G49" s="5">
        <f t="shared" si="81"/>
        <v>0.99877601654873815</v>
      </c>
      <c r="H49" s="5">
        <f t="shared" si="81"/>
        <v>0.99937000828140743</v>
      </c>
      <c r="I49" s="5">
        <f t="shared" si="81"/>
        <v>0.99970000000000003</v>
      </c>
      <c r="K49" s="29" t="str">
        <f t="shared" si="60"/>
        <v>BBB+</v>
      </c>
      <c r="L49" s="72">
        <f t="shared" si="61"/>
        <v>2.2100000000000002E-2</v>
      </c>
      <c r="M49" s="73">
        <f t="shared" ref="M49:R49" si="82">PRODUCT(M33)</f>
        <v>0.9951707823151601</v>
      </c>
      <c r="N49" s="73">
        <f t="shared" si="82"/>
        <v>0.99698864187006475</v>
      </c>
      <c r="O49" s="73">
        <f t="shared" si="82"/>
        <v>0.99824127288903497</v>
      </c>
      <c r="P49" s="73">
        <f t="shared" si="82"/>
        <v>0.99907450780122531</v>
      </c>
      <c r="Q49" s="73">
        <f t="shared" si="82"/>
        <v>0.9995625170376119</v>
      </c>
      <c r="R49" s="73">
        <f t="shared" si="82"/>
        <v>0.99970000000000003</v>
      </c>
      <c r="T49" s="33" t="str">
        <f t="shared" si="63"/>
        <v>BBB+</v>
      </c>
      <c r="U49" s="41">
        <f t="shared" si="64"/>
        <v>2.2100000000000002E-2</v>
      </c>
      <c r="V49" s="74">
        <f t="shared" ref="V49:AA49" si="83">PRODUCT(V33)</f>
        <v>0.99407244093933445</v>
      </c>
      <c r="W49" s="74">
        <f t="shared" si="83"/>
        <v>0.99593097705432765</v>
      </c>
      <c r="X49" s="74">
        <f t="shared" si="83"/>
        <v>0.99733976816122805</v>
      </c>
      <c r="Y49" s="74">
        <f t="shared" si="83"/>
        <v>0.99839171057351661</v>
      </c>
      <c r="Z49" s="74">
        <f t="shared" si="83"/>
        <v>0.99910174952925745</v>
      </c>
      <c r="AA49" s="74">
        <f t="shared" si="83"/>
        <v>0.9995488018782428</v>
      </c>
    </row>
    <row r="50" spans="2:27" x14ac:dyDescent="0.25">
      <c r="B50" s="3" t="str">
        <f t="shared" si="57"/>
        <v>BBB</v>
      </c>
      <c r="C50" s="39">
        <f t="shared" si="58"/>
        <v>2.2100000000000002E-2</v>
      </c>
      <c r="D50" s="5">
        <f t="shared" ref="D50:I50" si="84">PRODUCT(D34)</f>
        <v>0.99464660801801585</v>
      </c>
      <c r="E50" s="5">
        <f t="shared" si="84"/>
        <v>0.99649548700957935</v>
      </c>
      <c r="F50" s="5">
        <f t="shared" si="84"/>
        <v>0.9978326596560344</v>
      </c>
      <c r="G50" s="5">
        <f t="shared" si="84"/>
        <v>0.99877601654873815</v>
      </c>
      <c r="H50" s="5">
        <f t="shared" si="84"/>
        <v>0.99937000828140743</v>
      </c>
      <c r="I50" s="5">
        <f t="shared" si="84"/>
        <v>0.99970000000000003</v>
      </c>
      <c r="K50" s="29" t="str">
        <f t="shared" si="60"/>
        <v>BBB</v>
      </c>
      <c r="L50" s="72">
        <f t="shared" si="61"/>
        <v>2.2100000000000002E-2</v>
      </c>
      <c r="M50" s="73">
        <f t="shared" ref="M50:R50" si="85">PRODUCT(M34)</f>
        <v>0.9951707823151601</v>
      </c>
      <c r="N50" s="73">
        <f t="shared" si="85"/>
        <v>0.99698864187006475</v>
      </c>
      <c r="O50" s="73">
        <f t="shared" si="85"/>
        <v>0.99824127288903497</v>
      </c>
      <c r="P50" s="73">
        <f t="shared" si="85"/>
        <v>0.99907450780122531</v>
      </c>
      <c r="Q50" s="73">
        <f t="shared" si="85"/>
        <v>0.9995625170376119</v>
      </c>
      <c r="R50" s="73">
        <f t="shared" si="85"/>
        <v>0.99970000000000003</v>
      </c>
      <c r="T50" s="33" t="str">
        <f t="shared" si="63"/>
        <v>BBB</v>
      </c>
      <c r="U50" s="41">
        <f t="shared" si="64"/>
        <v>2.2100000000000002E-2</v>
      </c>
      <c r="V50" s="74">
        <f t="shared" ref="V50:AA50" si="86">PRODUCT(V34)</f>
        <v>0.99407244093933445</v>
      </c>
      <c r="W50" s="74">
        <f t="shared" si="86"/>
        <v>0.99593097705432765</v>
      </c>
      <c r="X50" s="74">
        <f t="shared" si="86"/>
        <v>0.99733976816122805</v>
      </c>
      <c r="Y50" s="74">
        <f t="shared" si="86"/>
        <v>0.99839171057351661</v>
      </c>
      <c r="Z50" s="74">
        <f t="shared" si="86"/>
        <v>0.99910174952925745</v>
      </c>
      <c r="AA50" s="74">
        <f t="shared" si="86"/>
        <v>0.9995488018782428</v>
      </c>
    </row>
    <row r="51" spans="2:27" x14ac:dyDescent="0.25">
      <c r="B51" s="3" t="str">
        <f t="shared" si="57"/>
        <v>BBB-</v>
      </c>
      <c r="C51" s="39">
        <f t="shared" si="58"/>
        <v>2.2100000000000002E-2</v>
      </c>
      <c r="D51" s="5">
        <f t="shared" ref="D51:I51" si="87">PRODUCT(D35)</f>
        <v>0.99464660801801585</v>
      </c>
      <c r="E51" s="5">
        <f t="shared" si="87"/>
        <v>0.99649548700957935</v>
      </c>
      <c r="F51" s="5">
        <f t="shared" si="87"/>
        <v>0.9978326596560344</v>
      </c>
      <c r="G51" s="5">
        <f t="shared" si="87"/>
        <v>0.99877601654873815</v>
      </c>
      <c r="H51" s="5">
        <f t="shared" si="87"/>
        <v>0.99937000828140743</v>
      </c>
      <c r="I51" s="5">
        <f t="shared" si="87"/>
        <v>0.99970000000000003</v>
      </c>
      <c r="K51" s="29" t="str">
        <f t="shared" si="60"/>
        <v>BBB-</v>
      </c>
      <c r="L51" s="72">
        <f t="shared" si="61"/>
        <v>2.2100000000000002E-2</v>
      </c>
      <c r="M51" s="73">
        <f t="shared" ref="M51:R51" si="88">PRODUCT(M35)</f>
        <v>0.9951707823151601</v>
      </c>
      <c r="N51" s="73">
        <f t="shared" si="88"/>
        <v>0.99698864187006475</v>
      </c>
      <c r="O51" s="73">
        <f t="shared" si="88"/>
        <v>0.99824127288903497</v>
      </c>
      <c r="P51" s="73">
        <f t="shared" si="88"/>
        <v>0.99907450780122531</v>
      </c>
      <c r="Q51" s="73">
        <f t="shared" si="88"/>
        <v>0.9995625170376119</v>
      </c>
      <c r="R51" s="73">
        <f t="shared" si="88"/>
        <v>0.99970000000000003</v>
      </c>
      <c r="T51" s="33" t="str">
        <f t="shared" si="63"/>
        <v>BBB-</v>
      </c>
      <c r="U51" s="41">
        <f t="shared" si="64"/>
        <v>2.2100000000000002E-2</v>
      </c>
      <c r="V51" s="74">
        <f t="shared" ref="V51:AA51" si="89">PRODUCT(V35)</f>
        <v>0.99407244093933445</v>
      </c>
      <c r="W51" s="74">
        <f t="shared" si="89"/>
        <v>0.99593097705432765</v>
      </c>
      <c r="X51" s="74">
        <f t="shared" si="89"/>
        <v>0.99733976816122805</v>
      </c>
      <c r="Y51" s="74">
        <f t="shared" si="89"/>
        <v>0.99839171057351661</v>
      </c>
      <c r="Z51" s="74">
        <f t="shared" si="89"/>
        <v>0.99910174952925745</v>
      </c>
      <c r="AA51" s="74">
        <f t="shared" si="89"/>
        <v>0.9995488018782428</v>
      </c>
    </row>
    <row r="52" spans="2:27" x14ac:dyDescent="0.25">
      <c r="B52" s="3" t="str">
        <f t="shared" si="57"/>
        <v>BB+</v>
      </c>
      <c r="C52" s="39">
        <f t="shared" si="58"/>
        <v>9.9199999999999997E-2</v>
      </c>
      <c r="D52" s="5">
        <f t="shared" ref="D52:I52" si="90">PRODUCT(D36)</f>
        <v>0.95305290723504987</v>
      </c>
      <c r="E52" s="5">
        <f t="shared" si="90"/>
        <v>0.96390290296658321</v>
      </c>
      <c r="F52" s="5">
        <f t="shared" si="90"/>
        <v>0.97324583550788368</v>
      </c>
      <c r="G52" s="5">
        <f t="shared" si="90"/>
        <v>0.98129584567574313</v>
      </c>
      <c r="H52" s="5">
        <f t="shared" si="90"/>
        <v>0.98768929094307811</v>
      </c>
      <c r="I52" s="5">
        <f t="shared" si="90"/>
        <v>0.99252814227617048</v>
      </c>
      <c r="K52" s="29" t="str">
        <f t="shared" si="60"/>
        <v>BB+</v>
      </c>
      <c r="L52" s="72">
        <f t="shared" si="61"/>
        <v>9.9199999999999997E-2</v>
      </c>
      <c r="M52" s="73">
        <f t="shared" ref="M52:R52" si="91">PRODUCT(M36)</f>
        <v>0.95595477308093635</v>
      </c>
      <c r="N52" s="73">
        <f t="shared" si="91"/>
        <v>0.96715358707841725</v>
      </c>
      <c r="O52" s="73">
        <f t="shared" si="91"/>
        <v>0.97652263943640238</v>
      </c>
      <c r="P52" s="73">
        <f t="shared" si="91"/>
        <v>0.98431080685552608</v>
      </c>
      <c r="Q52" s="73">
        <f t="shared" si="91"/>
        <v>0.99022446461538927</v>
      </c>
      <c r="R52" s="73">
        <f t="shared" si="91"/>
        <v>0.99445654347886059</v>
      </c>
      <c r="T52" s="33" t="str">
        <f t="shared" si="63"/>
        <v>BB+</v>
      </c>
      <c r="U52" s="41">
        <f t="shared" si="64"/>
        <v>9.9199999999999997E-2</v>
      </c>
      <c r="V52" s="74">
        <f t="shared" ref="V52:AA52" si="92">PRODUCT(V36)</f>
        <v>0.94999968198065088</v>
      </c>
      <c r="W52" s="74">
        <f t="shared" si="92"/>
        <v>0.96039336563729183</v>
      </c>
      <c r="X52" s="74">
        <f t="shared" si="92"/>
        <v>0.96959558240606947</v>
      </c>
      <c r="Y52" s="74">
        <f t="shared" si="92"/>
        <v>0.97780125926825745</v>
      </c>
      <c r="Z52" s="74">
        <f t="shared" si="92"/>
        <v>0.98460317122820074</v>
      </c>
      <c r="AA52" s="74">
        <f t="shared" si="92"/>
        <v>0.99003154327441589</v>
      </c>
    </row>
    <row r="53" spans="2:27" x14ac:dyDescent="0.25">
      <c r="B53" s="3" t="str">
        <f t="shared" si="57"/>
        <v>Unrated</v>
      </c>
      <c r="C53" s="39">
        <f t="shared" ref="C53" si="93">C21</f>
        <v>9.9199999999999997E-2</v>
      </c>
      <c r="D53" s="5">
        <f t="shared" ref="D53:I53" si="94">PRODUCT(D37)</f>
        <v>0.95305290723504987</v>
      </c>
      <c r="E53" s="5">
        <f t="shared" si="94"/>
        <v>0.96390290296658321</v>
      </c>
      <c r="F53" s="5">
        <f t="shared" si="94"/>
        <v>0.97324583550788368</v>
      </c>
      <c r="G53" s="5">
        <f t="shared" si="94"/>
        <v>0.98129584567574313</v>
      </c>
      <c r="H53" s="5">
        <f t="shared" si="94"/>
        <v>0.98768929094307811</v>
      </c>
      <c r="I53" s="5">
        <f t="shared" si="94"/>
        <v>0.99252814227617048</v>
      </c>
      <c r="K53" s="29" t="str">
        <f t="shared" si="60"/>
        <v>Unrated</v>
      </c>
      <c r="L53" s="72">
        <f t="shared" si="61"/>
        <v>9.9199999999999997E-2</v>
      </c>
      <c r="M53" s="73">
        <f t="shared" ref="M53:R53" si="95">PRODUCT(M37)</f>
        <v>0.95595477308093635</v>
      </c>
      <c r="N53" s="73">
        <f t="shared" si="95"/>
        <v>0.96715358707841725</v>
      </c>
      <c r="O53" s="73">
        <f t="shared" si="95"/>
        <v>0.97652263943640238</v>
      </c>
      <c r="P53" s="73">
        <f t="shared" si="95"/>
        <v>0.98431080685552608</v>
      </c>
      <c r="Q53" s="73">
        <f t="shared" si="95"/>
        <v>0.99022446461538927</v>
      </c>
      <c r="R53" s="73">
        <f t="shared" si="95"/>
        <v>0.99445654347886059</v>
      </c>
      <c r="T53" s="33" t="str">
        <f t="shared" si="63"/>
        <v>Unrated</v>
      </c>
      <c r="U53" s="41">
        <f t="shared" si="64"/>
        <v>9.9199999999999997E-2</v>
      </c>
      <c r="V53" s="74">
        <f t="shared" ref="V53:AA53" si="96">PRODUCT(V37)</f>
        <v>0.94999968198065088</v>
      </c>
      <c r="W53" s="74">
        <f t="shared" si="96"/>
        <v>0.96039336563729183</v>
      </c>
      <c r="X53" s="74">
        <f t="shared" si="96"/>
        <v>0.96959558240606947</v>
      </c>
      <c r="Y53" s="74">
        <f t="shared" si="96"/>
        <v>0.97780125926825745</v>
      </c>
      <c r="Z53" s="74">
        <f t="shared" si="96"/>
        <v>0.98460317122820074</v>
      </c>
      <c r="AA53" s="74">
        <f t="shared" si="96"/>
        <v>0.99003154327441589</v>
      </c>
    </row>
    <row r="54" spans="2:27" x14ac:dyDescent="0.25">
      <c r="D54" s="44"/>
      <c r="E54" s="44"/>
      <c r="F54" s="44"/>
      <c r="G54" s="44"/>
      <c r="H54" s="44"/>
      <c r="I54" s="44"/>
      <c r="J54" s="53"/>
    </row>
    <row r="55" spans="2:27" x14ac:dyDescent="0.25">
      <c r="D55" s="44"/>
      <c r="E55" s="44"/>
      <c r="F55" s="44"/>
      <c r="G55" s="44"/>
      <c r="H55" s="44"/>
      <c r="I55" s="44"/>
      <c r="J55" s="53"/>
    </row>
    <row r="56" spans="2:27" x14ac:dyDescent="0.25">
      <c r="D56" s="44"/>
      <c r="E56" s="44"/>
      <c r="F56" s="44"/>
      <c r="G56" s="44"/>
      <c r="H56" s="44"/>
      <c r="I56" s="44"/>
      <c r="J56" s="53"/>
    </row>
    <row r="57" spans="2:27" x14ac:dyDescent="0.25">
      <c r="D57" s="44"/>
      <c r="E57" s="44"/>
      <c r="F57" s="44"/>
      <c r="G57" s="44"/>
      <c r="H57" s="44"/>
      <c r="I57" s="44"/>
      <c r="J57" s="53"/>
    </row>
    <row r="58" spans="2:27" x14ac:dyDescent="0.25">
      <c r="D58" s="44"/>
      <c r="E58" s="53"/>
      <c r="F58" s="53"/>
      <c r="G58" s="53"/>
      <c r="H58" s="53"/>
      <c r="I58" s="53"/>
    </row>
    <row r="59" spans="2:27" x14ac:dyDescent="0.25">
      <c r="D59" s="53"/>
      <c r="E59" s="53"/>
      <c r="F59" s="53"/>
      <c r="G59" s="53"/>
      <c r="H59" s="53"/>
      <c r="I59" s="53"/>
    </row>
    <row r="60" spans="2:27" x14ac:dyDescent="0.25">
      <c r="D60" s="53"/>
      <c r="E60" s="53"/>
      <c r="F60" s="53"/>
      <c r="G60" s="53"/>
      <c r="H60" s="53"/>
      <c r="I60" s="53"/>
    </row>
  </sheetData>
  <mergeCells count="1">
    <mergeCell ref="B6:I6"/>
  </mergeCells>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994BDB-2245-49C1-8BD8-9E2123FD0FB5}">
  <dimension ref="B5:AA43"/>
  <sheetViews>
    <sheetView showGridLines="0" zoomScale="94" zoomScaleNormal="85" workbookViewId="0"/>
  </sheetViews>
  <sheetFormatPr defaultRowHeight="15" x14ac:dyDescent="0.25"/>
  <cols>
    <col min="2" max="2" width="19.85546875" customWidth="1"/>
    <col min="3" max="3" width="14.42578125" bestFit="1" customWidth="1"/>
    <col min="4" max="4" width="15" bestFit="1" customWidth="1"/>
    <col min="11" max="11" width="19.85546875" customWidth="1"/>
    <col min="20" max="20" width="19.85546875" customWidth="1"/>
  </cols>
  <sheetData>
    <row r="5" spans="2:27" ht="15.75" thickBot="1" x14ac:dyDescent="0.3"/>
    <row r="6" spans="2:27" ht="16.5" thickTop="1" thickBot="1" x14ac:dyDescent="0.3">
      <c r="B6" s="120" t="s">
        <v>81</v>
      </c>
      <c r="C6" s="121"/>
      <c r="D6" s="121"/>
      <c r="E6" s="121"/>
      <c r="F6" s="121"/>
      <c r="G6" s="121"/>
      <c r="H6" s="121"/>
      <c r="I6" s="121"/>
    </row>
    <row r="7" spans="2:27" ht="15.75" thickTop="1" x14ac:dyDescent="0.25"/>
    <row r="8" spans="2:27" x14ac:dyDescent="0.25">
      <c r="B8" s="25" t="s">
        <v>18</v>
      </c>
      <c r="C8" s="61"/>
      <c r="K8" s="70" t="s">
        <v>19</v>
      </c>
      <c r="L8" s="61"/>
      <c r="T8" s="32" t="s">
        <v>20</v>
      </c>
      <c r="U8" s="61"/>
    </row>
    <row r="9" spans="2:27" x14ac:dyDescent="0.25">
      <c r="B9" s="2" t="s">
        <v>25</v>
      </c>
      <c r="C9" s="2" t="s">
        <v>26</v>
      </c>
      <c r="D9" s="2">
        <v>2026</v>
      </c>
      <c r="E9" s="2">
        <f t="shared" ref="E9:I9" si="0">D9+1</f>
        <v>2027</v>
      </c>
      <c r="F9" s="2">
        <f t="shared" si="0"/>
        <v>2028</v>
      </c>
      <c r="G9" s="2">
        <f t="shared" si="0"/>
        <v>2029</v>
      </c>
      <c r="H9" s="2">
        <f t="shared" si="0"/>
        <v>2030</v>
      </c>
      <c r="I9" s="2">
        <f t="shared" si="0"/>
        <v>2031</v>
      </c>
      <c r="K9" s="28" t="s">
        <v>25</v>
      </c>
      <c r="L9" s="71" t="s">
        <v>26</v>
      </c>
      <c r="M9" s="28">
        <v>2026</v>
      </c>
      <c r="N9" s="28">
        <f t="shared" ref="N9:R9" si="1">M9+1</f>
        <v>2027</v>
      </c>
      <c r="O9" s="28">
        <f t="shared" si="1"/>
        <v>2028</v>
      </c>
      <c r="P9" s="28">
        <f t="shared" si="1"/>
        <v>2029</v>
      </c>
      <c r="Q9" s="28">
        <f t="shared" si="1"/>
        <v>2030</v>
      </c>
      <c r="R9" s="28">
        <f t="shared" si="1"/>
        <v>2031</v>
      </c>
      <c r="T9" s="32" t="s">
        <v>25</v>
      </c>
      <c r="U9" s="32" t="s">
        <v>26</v>
      </c>
      <c r="V9" s="32">
        <v>2026</v>
      </c>
      <c r="W9" s="32">
        <f t="shared" ref="W9:AA9" si="2">V9+1</f>
        <v>2027</v>
      </c>
      <c r="X9" s="32">
        <f t="shared" si="2"/>
        <v>2028</v>
      </c>
      <c r="Y9" s="32">
        <f t="shared" si="2"/>
        <v>2029</v>
      </c>
      <c r="Z9" s="32">
        <f t="shared" si="2"/>
        <v>2030</v>
      </c>
      <c r="AA9" s="32">
        <f t="shared" si="2"/>
        <v>2031</v>
      </c>
    </row>
    <row r="10" spans="2:27" x14ac:dyDescent="0.25">
      <c r="B10" s="3" t="str">
        <f>'Survival Analysis'!B10</f>
        <v>AAA</v>
      </c>
      <c r="C10" s="39">
        <f>'Survival Analysis'!C10</f>
        <v>2.9999999999999997E-4</v>
      </c>
      <c r="D10" s="5">
        <f>'Survival Analysis'!D10</f>
        <v>2.9999999999999997E-4</v>
      </c>
      <c r="E10" s="5">
        <f>'Survival Analysis'!E10*'Survival Analysis'!D42</f>
        <v>2.9990999999999997E-4</v>
      </c>
      <c r="F10" s="5">
        <f>'Survival Analysis'!F10*'Survival Analysis'!E42</f>
        <v>2.9990999999999997E-4</v>
      </c>
      <c r="G10" s="5">
        <f>'Survival Analysis'!G10*'Survival Analysis'!F42</f>
        <v>2.9990999999999997E-4</v>
      </c>
      <c r="H10" s="5">
        <f>'Survival Analysis'!H10*'Survival Analysis'!G42</f>
        <v>2.9990999999999997E-4</v>
      </c>
      <c r="I10" s="5">
        <f>'Survival Analysis'!I10*'Survival Analysis'!H42</f>
        <v>2.9990999999999997E-4</v>
      </c>
      <c r="K10" s="29" t="str">
        <f>B10</f>
        <v>AAA</v>
      </c>
      <c r="L10" s="72">
        <f>C10</f>
        <v>2.9999999999999997E-4</v>
      </c>
      <c r="M10" s="73">
        <f>'Survival Analysis'!M10</f>
        <v>2.9999999999999997E-4</v>
      </c>
      <c r="N10" s="73">
        <f>'Survival Analysis'!N10*'Survival Analysis'!M42</f>
        <v>2.9990999999999997E-4</v>
      </c>
      <c r="O10" s="73">
        <f>'Survival Analysis'!O10*'Survival Analysis'!N42</f>
        <v>2.9990999999999997E-4</v>
      </c>
      <c r="P10" s="73">
        <f>'Survival Analysis'!P10*'Survival Analysis'!O42</f>
        <v>2.9990999999999997E-4</v>
      </c>
      <c r="Q10" s="73">
        <f>'Survival Analysis'!Q10*'Survival Analysis'!P42</f>
        <v>2.9990999999999997E-4</v>
      </c>
      <c r="R10" s="73">
        <f>'Survival Analysis'!R10*'Survival Analysis'!Q42</f>
        <v>2.9990999999999997E-4</v>
      </c>
      <c r="T10" s="33" t="str">
        <f>K10</f>
        <v>AAA</v>
      </c>
      <c r="U10" s="41">
        <f>L10</f>
        <v>2.9999999999999997E-4</v>
      </c>
      <c r="V10" s="74">
        <f>'Survival Analysis'!V10</f>
        <v>2.9999999999999997E-4</v>
      </c>
      <c r="W10" s="74">
        <f>'Survival Analysis'!W10*'Survival Analysis'!V42</f>
        <v>2.9990999999999997E-4</v>
      </c>
      <c r="X10" s="74">
        <f>'Survival Analysis'!X10*'Survival Analysis'!W42</f>
        <v>2.9990999999999997E-4</v>
      </c>
      <c r="Y10" s="74">
        <f>'Survival Analysis'!Y10*'Survival Analysis'!X42</f>
        <v>2.9990999999999997E-4</v>
      </c>
      <c r="Z10" s="74">
        <f>'Survival Analysis'!Z10*'Survival Analysis'!Y42</f>
        <v>2.9990999999999997E-4</v>
      </c>
      <c r="AA10" s="74">
        <f>'Survival Analysis'!AA10*'Survival Analysis'!Z42</f>
        <v>2.9990999999999997E-4</v>
      </c>
    </row>
    <row r="11" spans="2:27" x14ac:dyDescent="0.25">
      <c r="B11" s="3" t="str">
        <f>'Survival Analysis'!B11</f>
        <v>AA+</v>
      </c>
      <c r="C11" s="39">
        <f>'Survival Analysis'!C11</f>
        <v>2.8999999999999998E-3</v>
      </c>
      <c r="D11" s="5">
        <f>'Survival Analysis'!D11</f>
        <v>2.9999999999999997E-4</v>
      </c>
      <c r="E11" s="5">
        <f>'Survival Analysis'!E11*'Survival Analysis'!D43</f>
        <v>2.9990999999999997E-4</v>
      </c>
      <c r="F11" s="5">
        <f>'Survival Analysis'!F11*'Survival Analysis'!E43</f>
        <v>2.9990999999999997E-4</v>
      </c>
      <c r="G11" s="5">
        <f>'Survival Analysis'!G11*'Survival Analysis'!F43</f>
        <v>2.9990999999999997E-4</v>
      </c>
      <c r="H11" s="5">
        <f>'Survival Analysis'!H11*'Survival Analysis'!G43</f>
        <v>2.9990999999999997E-4</v>
      </c>
      <c r="I11" s="5">
        <f>'Survival Analysis'!I11*'Survival Analysis'!H43</f>
        <v>2.9990999999999997E-4</v>
      </c>
      <c r="K11" s="29" t="str">
        <f t="shared" ref="K11:K21" si="3">B11</f>
        <v>AA+</v>
      </c>
      <c r="L11" s="72">
        <f t="shared" ref="L11:L21" si="4">C11</f>
        <v>2.8999999999999998E-3</v>
      </c>
      <c r="M11" s="73">
        <f>'Survival Analysis'!M11</f>
        <v>2.9999999999999997E-4</v>
      </c>
      <c r="N11" s="73">
        <f>'Survival Analysis'!N11*'Survival Analysis'!M43</f>
        <v>2.9990999999999997E-4</v>
      </c>
      <c r="O11" s="73">
        <f>'Survival Analysis'!O11*'Survival Analysis'!N43</f>
        <v>2.9990999999999997E-4</v>
      </c>
      <c r="P11" s="73">
        <f>'Survival Analysis'!P11*'Survival Analysis'!O43</f>
        <v>2.9990999999999997E-4</v>
      </c>
      <c r="Q11" s="73">
        <f>'Survival Analysis'!Q11*'Survival Analysis'!P43</f>
        <v>2.9990999999999997E-4</v>
      </c>
      <c r="R11" s="73">
        <f>'Survival Analysis'!R11*'Survival Analysis'!Q43</f>
        <v>2.9990999999999997E-4</v>
      </c>
      <c r="T11" s="33" t="str">
        <f t="shared" ref="T11:T21" si="5">K11</f>
        <v>AA+</v>
      </c>
      <c r="U11" s="41">
        <f t="shared" ref="U11:U21" si="6">L11</f>
        <v>2.8999999999999998E-3</v>
      </c>
      <c r="V11" s="74">
        <f>'Survival Analysis'!V11</f>
        <v>2.9999999999999997E-4</v>
      </c>
      <c r="W11" s="74">
        <f>'Survival Analysis'!W11*'Survival Analysis'!V43</f>
        <v>2.9990999999999997E-4</v>
      </c>
      <c r="X11" s="74">
        <f>'Survival Analysis'!X11*'Survival Analysis'!W43</f>
        <v>2.9990999999999997E-4</v>
      </c>
      <c r="Y11" s="74">
        <f>'Survival Analysis'!Y11*'Survival Analysis'!X43</f>
        <v>2.9990999999999997E-4</v>
      </c>
      <c r="Z11" s="74">
        <f>'Survival Analysis'!Z11*'Survival Analysis'!Y43</f>
        <v>2.9990999999999997E-4</v>
      </c>
      <c r="AA11" s="74">
        <f>'Survival Analysis'!AA11*'Survival Analysis'!Z43</f>
        <v>2.9990999999999997E-4</v>
      </c>
    </row>
    <row r="12" spans="2:27" x14ac:dyDescent="0.25">
      <c r="B12" s="3" t="str">
        <f>'Survival Analysis'!B12</f>
        <v>AA</v>
      </c>
      <c r="C12" s="39">
        <f>'Survival Analysis'!C12</f>
        <v>2.8999999999999998E-3</v>
      </c>
      <c r="D12" s="5">
        <f>'Survival Analysis'!D12</f>
        <v>2.9999999999999997E-4</v>
      </c>
      <c r="E12" s="5">
        <f>'Survival Analysis'!E12*'Survival Analysis'!D44</f>
        <v>2.9990999999999997E-4</v>
      </c>
      <c r="F12" s="5">
        <f>'Survival Analysis'!F12*'Survival Analysis'!E44</f>
        <v>2.9990999999999997E-4</v>
      </c>
      <c r="G12" s="5">
        <f>'Survival Analysis'!G12*'Survival Analysis'!F44</f>
        <v>2.9990999999999997E-4</v>
      </c>
      <c r="H12" s="5">
        <f>'Survival Analysis'!H12*'Survival Analysis'!G44</f>
        <v>2.9990999999999997E-4</v>
      </c>
      <c r="I12" s="5">
        <f>'Survival Analysis'!I12*'Survival Analysis'!H44</f>
        <v>2.9990999999999997E-4</v>
      </c>
      <c r="K12" s="29" t="str">
        <f t="shared" si="3"/>
        <v>AA</v>
      </c>
      <c r="L12" s="72">
        <f t="shared" si="4"/>
        <v>2.8999999999999998E-3</v>
      </c>
      <c r="M12" s="73">
        <f>'Survival Analysis'!M12</f>
        <v>2.9999999999999997E-4</v>
      </c>
      <c r="N12" s="73">
        <f>'Survival Analysis'!N12*'Survival Analysis'!M44</f>
        <v>2.9990999999999997E-4</v>
      </c>
      <c r="O12" s="73">
        <f>'Survival Analysis'!O12*'Survival Analysis'!N44</f>
        <v>2.9990999999999997E-4</v>
      </c>
      <c r="P12" s="73">
        <f>'Survival Analysis'!P12*'Survival Analysis'!O44</f>
        <v>2.9990999999999997E-4</v>
      </c>
      <c r="Q12" s="73">
        <f>'Survival Analysis'!Q12*'Survival Analysis'!P44</f>
        <v>2.9990999999999997E-4</v>
      </c>
      <c r="R12" s="73">
        <f>'Survival Analysis'!R12*'Survival Analysis'!Q44</f>
        <v>2.9990999999999997E-4</v>
      </c>
      <c r="T12" s="33" t="str">
        <f t="shared" si="5"/>
        <v>AA</v>
      </c>
      <c r="U12" s="41">
        <f t="shared" si="6"/>
        <v>2.8999999999999998E-3</v>
      </c>
      <c r="V12" s="74">
        <f>'Survival Analysis'!V12</f>
        <v>2.9999999999999997E-4</v>
      </c>
      <c r="W12" s="74">
        <f>'Survival Analysis'!W12*'Survival Analysis'!V44</f>
        <v>2.9990999999999997E-4</v>
      </c>
      <c r="X12" s="74">
        <f>'Survival Analysis'!X12*'Survival Analysis'!W44</f>
        <v>2.9990999999999997E-4</v>
      </c>
      <c r="Y12" s="74">
        <f>'Survival Analysis'!Y12*'Survival Analysis'!X44</f>
        <v>2.9990999999999997E-4</v>
      </c>
      <c r="Z12" s="74">
        <f>'Survival Analysis'!Z12*'Survival Analysis'!Y44</f>
        <v>2.9990999999999997E-4</v>
      </c>
      <c r="AA12" s="74">
        <f>'Survival Analysis'!AA12*'Survival Analysis'!Z44</f>
        <v>2.9990999999999997E-4</v>
      </c>
    </row>
    <row r="13" spans="2:27" x14ac:dyDescent="0.25">
      <c r="B13" s="3" t="str">
        <f>'Survival Analysis'!B13</f>
        <v>AA-</v>
      </c>
      <c r="C13" s="39">
        <f>'Survival Analysis'!C13</f>
        <v>2.8999999999999998E-3</v>
      </c>
      <c r="D13" s="5">
        <f>'Survival Analysis'!D13</f>
        <v>2.9999999999999997E-4</v>
      </c>
      <c r="E13" s="5">
        <f>'Survival Analysis'!E13*'Survival Analysis'!D45</f>
        <v>2.9990999999999997E-4</v>
      </c>
      <c r="F13" s="5">
        <f>'Survival Analysis'!F13*'Survival Analysis'!E45</f>
        <v>2.9990999999999997E-4</v>
      </c>
      <c r="G13" s="5">
        <f>'Survival Analysis'!G13*'Survival Analysis'!F45</f>
        <v>2.9990999999999997E-4</v>
      </c>
      <c r="H13" s="5">
        <f>'Survival Analysis'!H13*'Survival Analysis'!G45</f>
        <v>2.9990999999999997E-4</v>
      </c>
      <c r="I13" s="5">
        <f>'Survival Analysis'!I13*'Survival Analysis'!H45</f>
        <v>2.9990999999999997E-4</v>
      </c>
      <c r="K13" s="29" t="str">
        <f t="shared" si="3"/>
        <v>AA-</v>
      </c>
      <c r="L13" s="72">
        <f t="shared" si="4"/>
        <v>2.8999999999999998E-3</v>
      </c>
      <c r="M13" s="73">
        <f>'Survival Analysis'!M13</f>
        <v>2.9999999999999997E-4</v>
      </c>
      <c r="N13" s="73">
        <f>'Survival Analysis'!N13*'Survival Analysis'!M45</f>
        <v>2.9990999999999997E-4</v>
      </c>
      <c r="O13" s="73">
        <f>'Survival Analysis'!O13*'Survival Analysis'!N45</f>
        <v>2.9990999999999997E-4</v>
      </c>
      <c r="P13" s="73">
        <f>'Survival Analysis'!P13*'Survival Analysis'!O45</f>
        <v>2.9990999999999997E-4</v>
      </c>
      <c r="Q13" s="73">
        <f>'Survival Analysis'!Q13*'Survival Analysis'!P45</f>
        <v>2.9990999999999997E-4</v>
      </c>
      <c r="R13" s="73">
        <f>'Survival Analysis'!R13*'Survival Analysis'!Q45</f>
        <v>2.9990999999999997E-4</v>
      </c>
      <c r="T13" s="33" t="str">
        <f t="shared" si="5"/>
        <v>AA-</v>
      </c>
      <c r="U13" s="41">
        <f t="shared" si="6"/>
        <v>2.8999999999999998E-3</v>
      </c>
      <c r="V13" s="74">
        <f>'Survival Analysis'!V13</f>
        <v>2.9999999999999997E-4</v>
      </c>
      <c r="W13" s="74">
        <f>'Survival Analysis'!W13*'Survival Analysis'!V45</f>
        <v>2.9990999999999997E-4</v>
      </c>
      <c r="X13" s="74">
        <f>'Survival Analysis'!X13*'Survival Analysis'!W45</f>
        <v>2.9990999999999997E-4</v>
      </c>
      <c r="Y13" s="74">
        <f>'Survival Analysis'!Y13*'Survival Analysis'!X45</f>
        <v>2.9990999999999997E-4</v>
      </c>
      <c r="Z13" s="74">
        <f>'Survival Analysis'!Z13*'Survival Analysis'!Y45</f>
        <v>2.9990999999999997E-4</v>
      </c>
      <c r="AA13" s="74">
        <f>'Survival Analysis'!AA13*'Survival Analysis'!Z45</f>
        <v>2.9990999999999997E-4</v>
      </c>
    </row>
    <row r="14" spans="2:27" x14ac:dyDescent="0.25">
      <c r="B14" s="3" t="str">
        <f>'Survival Analysis'!B14</f>
        <v>A+</v>
      </c>
      <c r="C14" s="39">
        <f>'Survival Analysis'!C14</f>
        <v>6.6E-3</v>
      </c>
      <c r="D14" s="5">
        <f>'Survival Analysis'!D14</f>
        <v>6.8917817677122128E-4</v>
      </c>
      <c r="E14" s="5">
        <f>'Survival Analysis'!E14*'Survival Analysis'!D46</f>
        <v>3.7853293454678572E-4</v>
      </c>
      <c r="F14" s="5">
        <f>'Survival Analysis'!F14*'Survival Analysis'!E46</f>
        <v>2.9988636180267026E-4</v>
      </c>
      <c r="G14" s="5">
        <f>'Survival Analysis'!G14*'Survival Analysis'!F46</f>
        <v>2.9990999999999997E-4</v>
      </c>
      <c r="H14" s="5">
        <f>'Survival Analysis'!H14*'Survival Analysis'!G46</f>
        <v>2.9990999999999997E-4</v>
      </c>
      <c r="I14" s="5">
        <f>'Survival Analysis'!I14*'Survival Analysis'!H46</f>
        <v>2.9990999999999997E-4</v>
      </c>
      <c r="K14" s="29" t="str">
        <f t="shared" si="3"/>
        <v>A+</v>
      </c>
      <c r="L14" s="72">
        <f t="shared" si="4"/>
        <v>6.6E-3</v>
      </c>
      <c r="M14" s="73">
        <f>'Survival Analysis'!M14</f>
        <v>5.9580224064648124E-4</v>
      </c>
      <c r="N14" s="73">
        <f>'Survival Analysis'!N14*'Survival Analysis'!M46</f>
        <v>3.0558190776198778E-4</v>
      </c>
      <c r="O14" s="73">
        <f>'Survival Analysis'!O14*'Survival Analysis'!N46</f>
        <v>2.9990827077519371E-4</v>
      </c>
      <c r="P14" s="73">
        <f>'Survival Analysis'!P14*'Survival Analysis'!O46</f>
        <v>2.9990999999999997E-4</v>
      </c>
      <c r="Q14" s="73">
        <f>'Survival Analysis'!Q14*'Survival Analysis'!P46</f>
        <v>2.9990999999999997E-4</v>
      </c>
      <c r="R14" s="73">
        <f>'Survival Analysis'!R14*'Survival Analysis'!Q46</f>
        <v>2.9990999999999997E-4</v>
      </c>
      <c r="T14" s="33" t="str">
        <f t="shared" si="5"/>
        <v>A+</v>
      </c>
      <c r="U14" s="41">
        <f t="shared" si="6"/>
        <v>6.6E-3</v>
      </c>
      <c r="V14" s="74">
        <f>'Survival Analysis'!V14</f>
        <v>7.9589044603754625E-4</v>
      </c>
      <c r="W14" s="74">
        <f>'Survival Analysis'!W14*'Survival Analysis'!V46</f>
        <v>4.6738198657762472E-4</v>
      </c>
      <c r="X14" s="74">
        <f>'Survival Analysis'!X14*'Survival Analysis'!W46</f>
        <v>2.9985967371968088E-4</v>
      </c>
      <c r="Y14" s="74">
        <f>'Survival Analysis'!Y14*'Survival Analysis'!X46</f>
        <v>2.9990999999999997E-4</v>
      </c>
      <c r="Z14" s="74">
        <f>'Survival Analysis'!Z14*'Survival Analysis'!Y46</f>
        <v>2.9990999999999997E-4</v>
      </c>
      <c r="AA14" s="74">
        <f>'Survival Analysis'!AA14*'Survival Analysis'!Z46</f>
        <v>2.9990999999999997E-4</v>
      </c>
    </row>
    <row r="15" spans="2:27" x14ac:dyDescent="0.25">
      <c r="B15" s="3" t="str">
        <f>'Survival Analysis'!B15</f>
        <v>A</v>
      </c>
      <c r="C15" s="39">
        <f>'Survival Analysis'!C15</f>
        <v>6.6E-3</v>
      </c>
      <c r="D15" s="5">
        <f>'Survival Analysis'!D15</f>
        <v>6.8917817677122128E-4</v>
      </c>
      <c r="E15" s="5">
        <f>'Survival Analysis'!E15*'Survival Analysis'!D47</f>
        <v>3.7853293454678572E-4</v>
      </c>
      <c r="F15" s="5">
        <f>'Survival Analysis'!F15*'Survival Analysis'!E47</f>
        <v>2.9988636180267026E-4</v>
      </c>
      <c r="G15" s="5">
        <f>'Survival Analysis'!G15*'Survival Analysis'!F47</f>
        <v>2.9990999999999997E-4</v>
      </c>
      <c r="H15" s="5">
        <f>'Survival Analysis'!H15*'Survival Analysis'!G47</f>
        <v>2.9990999999999997E-4</v>
      </c>
      <c r="I15" s="5">
        <f>'Survival Analysis'!I15*'Survival Analysis'!H47</f>
        <v>2.9990999999999997E-4</v>
      </c>
      <c r="K15" s="29" t="str">
        <f t="shared" si="3"/>
        <v>A</v>
      </c>
      <c r="L15" s="72">
        <f t="shared" si="4"/>
        <v>6.6E-3</v>
      </c>
      <c r="M15" s="73">
        <f>'Survival Analysis'!M15</f>
        <v>5.9580224064648124E-4</v>
      </c>
      <c r="N15" s="73">
        <f>'Survival Analysis'!N15*'Survival Analysis'!M47</f>
        <v>3.0558190776198778E-4</v>
      </c>
      <c r="O15" s="73">
        <f>'Survival Analysis'!O15*'Survival Analysis'!N47</f>
        <v>2.9990827077519371E-4</v>
      </c>
      <c r="P15" s="73">
        <f>'Survival Analysis'!P15*'Survival Analysis'!O47</f>
        <v>2.9990999999999997E-4</v>
      </c>
      <c r="Q15" s="73">
        <f>'Survival Analysis'!Q15*'Survival Analysis'!P47</f>
        <v>2.9990999999999997E-4</v>
      </c>
      <c r="R15" s="73">
        <f>'Survival Analysis'!R15*'Survival Analysis'!Q47</f>
        <v>2.9990999999999997E-4</v>
      </c>
      <c r="T15" s="33" t="str">
        <f t="shared" si="5"/>
        <v>A</v>
      </c>
      <c r="U15" s="41">
        <f t="shared" si="6"/>
        <v>6.6E-3</v>
      </c>
      <c r="V15" s="74">
        <f>'Survival Analysis'!V15</f>
        <v>7.9589044603754625E-4</v>
      </c>
      <c r="W15" s="74">
        <f>'Survival Analysis'!W15*'Survival Analysis'!V47</f>
        <v>4.6738198657762472E-4</v>
      </c>
      <c r="X15" s="74">
        <f>'Survival Analysis'!X15*'Survival Analysis'!W47</f>
        <v>2.9985967371968088E-4</v>
      </c>
      <c r="Y15" s="74">
        <f>'Survival Analysis'!Y15*'Survival Analysis'!X47</f>
        <v>2.9990999999999997E-4</v>
      </c>
      <c r="Z15" s="74">
        <f>'Survival Analysis'!Z15*'Survival Analysis'!Y47</f>
        <v>2.9990999999999997E-4</v>
      </c>
      <c r="AA15" s="74">
        <f>'Survival Analysis'!AA15*'Survival Analysis'!Z47</f>
        <v>2.9990999999999997E-4</v>
      </c>
    </row>
    <row r="16" spans="2:27" x14ac:dyDescent="0.25">
      <c r="B16" s="3" t="str">
        <f>'Survival Analysis'!B16</f>
        <v>A-</v>
      </c>
      <c r="C16" s="39">
        <f>'Survival Analysis'!C16</f>
        <v>6.6E-3</v>
      </c>
      <c r="D16" s="5">
        <f>'Survival Analysis'!D16</f>
        <v>6.8917817677122128E-4</v>
      </c>
      <c r="E16" s="5">
        <f>'Survival Analysis'!E16*'Survival Analysis'!D48</f>
        <v>3.7853293454678572E-4</v>
      </c>
      <c r="F16" s="5">
        <f>'Survival Analysis'!F16*'Survival Analysis'!E48</f>
        <v>2.9988636180267026E-4</v>
      </c>
      <c r="G16" s="5">
        <f>'Survival Analysis'!G16*'Survival Analysis'!F48</f>
        <v>2.9990999999999997E-4</v>
      </c>
      <c r="H16" s="5">
        <f>'Survival Analysis'!H16*'Survival Analysis'!G48</f>
        <v>2.9990999999999997E-4</v>
      </c>
      <c r="I16" s="5">
        <f>'Survival Analysis'!I16*'Survival Analysis'!H48</f>
        <v>2.9990999999999997E-4</v>
      </c>
      <c r="K16" s="29" t="str">
        <f t="shared" si="3"/>
        <v>A-</v>
      </c>
      <c r="L16" s="72">
        <f t="shared" si="4"/>
        <v>6.6E-3</v>
      </c>
      <c r="M16" s="73">
        <f>'Survival Analysis'!M16</f>
        <v>5.9580224064648124E-4</v>
      </c>
      <c r="N16" s="73">
        <f>'Survival Analysis'!N16*'Survival Analysis'!M48</f>
        <v>3.0558190776198778E-4</v>
      </c>
      <c r="O16" s="73">
        <f>'Survival Analysis'!O16*'Survival Analysis'!N48</f>
        <v>2.9990827077519371E-4</v>
      </c>
      <c r="P16" s="73">
        <f>'Survival Analysis'!P16*'Survival Analysis'!O48</f>
        <v>2.9990999999999997E-4</v>
      </c>
      <c r="Q16" s="73">
        <f>'Survival Analysis'!Q16*'Survival Analysis'!P48</f>
        <v>2.9990999999999997E-4</v>
      </c>
      <c r="R16" s="73">
        <f>'Survival Analysis'!R16*'Survival Analysis'!Q48</f>
        <v>2.9990999999999997E-4</v>
      </c>
      <c r="T16" s="33" t="str">
        <f t="shared" si="5"/>
        <v>A-</v>
      </c>
      <c r="U16" s="41">
        <f t="shared" si="6"/>
        <v>6.6E-3</v>
      </c>
      <c r="V16" s="74">
        <f>'Survival Analysis'!V16</f>
        <v>7.9589044603754625E-4</v>
      </c>
      <c r="W16" s="74">
        <f>'Survival Analysis'!W16*'Survival Analysis'!V48</f>
        <v>4.6738198657762472E-4</v>
      </c>
      <c r="X16" s="74">
        <f>'Survival Analysis'!X16*'Survival Analysis'!W48</f>
        <v>2.9985967371968088E-4</v>
      </c>
      <c r="Y16" s="74">
        <f>'Survival Analysis'!Y16*'Survival Analysis'!X48</f>
        <v>2.9990999999999997E-4</v>
      </c>
      <c r="Z16" s="74">
        <f>'Survival Analysis'!Z16*'Survival Analysis'!Y48</f>
        <v>2.9990999999999997E-4</v>
      </c>
      <c r="AA16" s="74">
        <f>'Survival Analysis'!AA16*'Survival Analysis'!Z48</f>
        <v>2.9990999999999997E-4</v>
      </c>
    </row>
    <row r="17" spans="2:27" x14ac:dyDescent="0.25">
      <c r="B17" s="3" t="str">
        <f>'Survival Analysis'!B17</f>
        <v>BBB+</v>
      </c>
      <c r="C17" s="39">
        <f>'Survival Analysis'!C17</f>
        <v>2.2100000000000002E-2</v>
      </c>
      <c r="D17" s="5">
        <f>'Survival Analysis'!D17</f>
        <v>5.353391981984092E-3</v>
      </c>
      <c r="E17" s="5">
        <f>'Survival Analysis'!E17*'Survival Analysis'!D49</f>
        <v>3.4857519586769812E-3</v>
      </c>
      <c r="F17" s="5">
        <f>'Survival Analysis'!F17*'Survival Analysis'!E49</f>
        <v>2.1597448715754827E-3</v>
      </c>
      <c r="G17" s="5">
        <f>'Survival Analysis'!G17*'Survival Analysis'!F49</f>
        <v>1.2213306625476188E-3</v>
      </c>
      <c r="H17" s="5">
        <f>'Survival Analysis'!H17*'Survival Analysis'!G49</f>
        <v>6.292206191545474E-4</v>
      </c>
      <c r="I17" s="5">
        <f>'Survival Analysis'!I17*'Survival Analysis'!H49</f>
        <v>2.9981100248442221E-4</v>
      </c>
      <c r="K17" s="29" t="str">
        <f t="shared" si="3"/>
        <v>BBB+</v>
      </c>
      <c r="L17" s="72">
        <f t="shared" si="4"/>
        <v>2.2100000000000002E-2</v>
      </c>
      <c r="M17" s="73">
        <f>'Survival Analysis'!M17</f>
        <v>4.8292176848399029E-3</v>
      </c>
      <c r="N17" s="73">
        <f>'Survival Analysis'!N17*'Survival Analysis'!M49</f>
        <v>2.9968156259987675E-3</v>
      </c>
      <c r="O17" s="73">
        <f>'Survival Analysis'!O17*'Survival Analysis'!N49</f>
        <v>1.7534309537810691E-3</v>
      </c>
      <c r="P17" s="73">
        <f>'Survival Analysis'!P17*'Survival Analysis'!O49</f>
        <v>9.2386451055369398E-4</v>
      </c>
      <c r="Q17" s="73">
        <f>'Survival Analysis'!Q17*'Survival Analysis'!P49</f>
        <v>4.3707807531934671E-4</v>
      </c>
      <c r="R17" s="73">
        <f>'Survival Analysis'!R17*'Survival Analysis'!Q49</f>
        <v>2.9986875511128357E-4</v>
      </c>
      <c r="T17" s="33" t="str">
        <f t="shared" si="5"/>
        <v>BBB+</v>
      </c>
      <c r="U17" s="41">
        <f t="shared" si="6"/>
        <v>2.2100000000000002E-2</v>
      </c>
      <c r="V17" s="74">
        <f>'Survival Analysis'!V17</f>
        <v>5.9275590606655366E-3</v>
      </c>
      <c r="W17" s="74">
        <f>'Survival Analysis'!W17*'Survival Analysis'!V49</f>
        <v>4.0449035718427241E-3</v>
      </c>
      <c r="X17" s="74">
        <f>'Survival Analysis'!X17*'Survival Analysis'!W49</f>
        <v>2.6494072943791412E-3</v>
      </c>
      <c r="Y17" s="74">
        <f>'Survival Analysis'!Y17*'Survival Analysis'!X49</f>
        <v>1.6040110037450533E-3</v>
      </c>
      <c r="Z17" s="74">
        <f>'Survival Analysis'!Z17*'Survival Analysis'!Y49</f>
        <v>8.9680582400814945E-4</v>
      </c>
      <c r="AA17" s="74">
        <f>'Survival Analysis'!AA17*'Survival Analysis'!Z49</f>
        <v>4.5079283283193351E-4</v>
      </c>
    </row>
    <row r="18" spans="2:27" x14ac:dyDescent="0.25">
      <c r="B18" s="3" t="str">
        <f>'Survival Analysis'!B18</f>
        <v>BBB</v>
      </c>
      <c r="C18" s="39">
        <f>'Survival Analysis'!C18</f>
        <v>2.2100000000000002E-2</v>
      </c>
      <c r="D18" s="5">
        <f>'Survival Analysis'!D18</f>
        <v>5.353391981984092E-3</v>
      </c>
      <c r="E18" s="5">
        <f>'Survival Analysis'!E18*'Survival Analysis'!D50</f>
        <v>3.4857519586769812E-3</v>
      </c>
      <c r="F18" s="5">
        <f>'Survival Analysis'!F18*'Survival Analysis'!E50</f>
        <v>2.1597448715754827E-3</v>
      </c>
      <c r="G18" s="5">
        <f>'Survival Analysis'!G18*'Survival Analysis'!F50</f>
        <v>1.2213306625476188E-3</v>
      </c>
      <c r="H18" s="5">
        <f>'Survival Analysis'!H18*'Survival Analysis'!G50</f>
        <v>6.292206191545474E-4</v>
      </c>
      <c r="I18" s="5">
        <f>'Survival Analysis'!I18*'Survival Analysis'!H50</f>
        <v>2.9981100248442221E-4</v>
      </c>
      <c r="K18" s="29" t="str">
        <f t="shared" si="3"/>
        <v>BBB</v>
      </c>
      <c r="L18" s="72">
        <f t="shared" si="4"/>
        <v>2.2100000000000002E-2</v>
      </c>
      <c r="M18" s="73">
        <f>'Survival Analysis'!M18</f>
        <v>4.8292176848399029E-3</v>
      </c>
      <c r="N18" s="73">
        <f>'Survival Analysis'!N18*'Survival Analysis'!M50</f>
        <v>2.9968156259987675E-3</v>
      </c>
      <c r="O18" s="73">
        <f>'Survival Analysis'!O18*'Survival Analysis'!N50</f>
        <v>1.7534309537810691E-3</v>
      </c>
      <c r="P18" s="73">
        <f>'Survival Analysis'!P18*'Survival Analysis'!O50</f>
        <v>9.2386451055369398E-4</v>
      </c>
      <c r="Q18" s="73">
        <f>'Survival Analysis'!Q18*'Survival Analysis'!P50</f>
        <v>4.3707807531934671E-4</v>
      </c>
      <c r="R18" s="73">
        <f>'Survival Analysis'!R18*'Survival Analysis'!Q50</f>
        <v>2.9986875511128357E-4</v>
      </c>
      <c r="T18" s="33" t="str">
        <f t="shared" si="5"/>
        <v>BBB</v>
      </c>
      <c r="U18" s="41">
        <f t="shared" si="6"/>
        <v>2.2100000000000002E-2</v>
      </c>
      <c r="V18" s="74">
        <f>'Survival Analysis'!V18</f>
        <v>5.9275590606655366E-3</v>
      </c>
      <c r="W18" s="74">
        <f>'Survival Analysis'!W18*'Survival Analysis'!V50</f>
        <v>4.0449035718427241E-3</v>
      </c>
      <c r="X18" s="74">
        <f>'Survival Analysis'!X18*'Survival Analysis'!W50</f>
        <v>2.6494072943791412E-3</v>
      </c>
      <c r="Y18" s="74">
        <f>'Survival Analysis'!Y18*'Survival Analysis'!X50</f>
        <v>1.6040110037450533E-3</v>
      </c>
      <c r="Z18" s="74">
        <f>'Survival Analysis'!Z18*'Survival Analysis'!Y50</f>
        <v>8.9680582400814945E-4</v>
      </c>
      <c r="AA18" s="74">
        <f>'Survival Analysis'!AA18*'Survival Analysis'!Z50</f>
        <v>4.5079283283193351E-4</v>
      </c>
    </row>
    <row r="19" spans="2:27" x14ac:dyDescent="0.25">
      <c r="B19" s="3" t="str">
        <f>'Survival Analysis'!B19</f>
        <v>BBB-</v>
      </c>
      <c r="C19" s="39">
        <f>'Survival Analysis'!C19</f>
        <v>2.2100000000000002E-2</v>
      </c>
      <c r="D19" s="5">
        <f>'Survival Analysis'!D19</f>
        <v>5.353391981984092E-3</v>
      </c>
      <c r="E19" s="5">
        <f>'Survival Analysis'!E19*'Survival Analysis'!D51</f>
        <v>3.4857519586769812E-3</v>
      </c>
      <c r="F19" s="5">
        <f>'Survival Analysis'!F19*'Survival Analysis'!E51</f>
        <v>2.1597448715754827E-3</v>
      </c>
      <c r="G19" s="5">
        <f>'Survival Analysis'!G19*'Survival Analysis'!F51</f>
        <v>1.2213306625476188E-3</v>
      </c>
      <c r="H19" s="5">
        <f>'Survival Analysis'!H19*'Survival Analysis'!G51</f>
        <v>6.292206191545474E-4</v>
      </c>
      <c r="I19" s="5">
        <f>'Survival Analysis'!I19*'Survival Analysis'!H51</f>
        <v>2.9981100248442221E-4</v>
      </c>
      <c r="K19" s="29" t="str">
        <f t="shared" si="3"/>
        <v>BBB-</v>
      </c>
      <c r="L19" s="72">
        <f t="shared" si="4"/>
        <v>2.2100000000000002E-2</v>
      </c>
      <c r="M19" s="73">
        <f>'Survival Analysis'!M19</f>
        <v>4.8292176848399029E-3</v>
      </c>
      <c r="N19" s="73">
        <f>'Survival Analysis'!N19*'Survival Analysis'!M51</f>
        <v>2.9968156259987675E-3</v>
      </c>
      <c r="O19" s="73">
        <f>'Survival Analysis'!O19*'Survival Analysis'!N51</f>
        <v>1.7534309537810691E-3</v>
      </c>
      <c r="P19" s="73">
        <f>'Survival Analysis'!P19*'Survival Analysis'!O51</f>
        <v>9.2386451055369398E-4</v>
      </c>
      <c r="Q19" s="73">
        <f>'Survival Analysis'!Q19*'Survival Analysis'!P51</f>
        <v>4.3707807531934671E-4</v>
      </c>
      <c r="R19" s="73">
        <f>'Survival Analysis'!R19*'Survival Analysis'!Q51</f>
        <v>2.9986875511128357E-4</v>
      </c>
      <c r="T19" s="33" t="str">
        <f t="shared" si="5"/>
        <v>BBB-</v>
      </c>
      <c r="U19" s="41">
        <f t="shared" si="6"/>
        <v>2.2100000000000002E-2</v>
      </c>
      <c r="V19" s="74">
        <f>'Survival Analysis'!V19</f>
        <v>5.9275590606655366E-3</v>
      </c>
      <c r="W19" s="74">
        <f>'Survival Analysis'!W19*'Survival Analysis'!V51</f>
        <v>4.0449035718427241E-3</v>
      </c>
      <c r="X19" s="74">
        <f>'Survival Analysis'!X19*'Survival Analysis'!W51</f>
        <v>2.6494072943791412E-3</v>
      </c>
      <c r="Y19" s="74">
        <f>'Survival Analysis'!Y19*'Survival Analysis'!X51</f>
        <v>1.6040110037450533E-3</v>
      </c>
      <c r="Z19" s="74">
        <f>'Survival Analysis'!Z19*'Survival Analysis'!Y51</f>
        <v>8.9680582400814945E-4</v>
      </c>
      <c r="AA19" s="74">
        <f>'Survival Analysis'!AA19*'Survival Analysis'!Z51</f>
        <v>4.5079283283193351E-4</v>
      </c>
    </row>
    <row r="20" spans="2:27" x14ac:dyDescent="0.25">
      <c r="B20" s="3" t="str">
        <f>'Survival Analysis'!B20</f>
        <v>BB+</v>
      </c>
      <c r="C20" s="39">
        <f>'Survival Analysis'!C20</f>
        <v>9.9199999999999997E-2</v>
      </c>
      <c r="D20" s="5">
        <f>'Survival Analysis'!D20</f>
        <v>4.6947092764950078E-2</v>
      </c>
      <c r="E20" s="5">
        <f>'Survival Analysis'!E20*'Survival Analysis'!D52</f>
        <v>3.4402443270443589E-2</v>
      </c>
      <c r="F20" s="5">
        <f>'Survival Analysis'!F20*'Survival Analysis'!E52</f>
        <v>2.5788416820396353E-2</v>
      </c>
      <c r="G20" s="5">
        <f>'Survival Analysis'!G20*'Survival Analysis'!F52</f>
        <v>1.820374030277978E-2</v>
      </c>
      <c r="H20" s="5">
        <f>'Survival Analysis'!H20*'Survival Analysis'!G52</f>
        <v>1.2080447654880141E-2</v>
      </c>
      <c r="I20" s="5">
        <f>'Survival Analysis'!I20*'Survival Analysis'!H52</f>
        <v>7.3798738572767308E-3</v>
      </c>
      <c r="K20" s="29" t="str">
        <f t="shared" si="3"/>
        <v>BB+</v>
      </c>
      <c r="L20" s="72">
        <f t="shared" si="4"/>
        <v>9.9199999999999997E-2</v>
      </c>
      <c r="M20" s="73">
        <f>'Survival Analysis'!M20</f>
        <v>4.4045226919063624E-2</v>
      </c>
      <c r="N20" s="73">
        <f>'Survival Analysis'!N20*'Survival Analysis'!M52</f>
        <v>3.1399685210974332E-2</v>
      </c>
      <c r="O20" s="73">
        <f>'Survival Analysis'!O20*'Survival Analysis'!N52</f>
        <v>2.2706213484216812E-2</v>
      </c>
      <c r="P20" s="73">
        <f>'Survival Analysis'!P20*'Survival Analysis'!O52</f>
        <v>1.5320852300069226E-2</v>
      </c>
      <c r="Q20" s="73">
        <f>'Survival Analysis'!Q20*'Survival Analysis'!P52</f>
        <v>9.6221651218709302E-3</v>
      </c>
      <c r="R20" s="73">
        <f>'Survival Analysis'!R20*'Survival Analysis'!Q52</f>
        <v>5.4892662657640033E-3</v>
      </c>
      <c r="T20" s="33" t="str">
        <f t="shared" si="5"/>
        <v>BB+</v>
      </c>
      <c r="U20" s="41">
        <f t="shared" si="6"/>
        <v>9.9199999999999997E-2</v>
      </c>
      <c r="V20" s="74">
        <f>'Survival Analysis'!V20</f>
        <v>5.0000318019349135E-2</v>
      </c>
      <c r="W20" s="74">
        <f>'Survival Analysis'!W20*'Survival Analysis'!V52</f>
        <v>3.7626290048896636E-2</v>
      </c>
      <c r="X20" s="74">
        <f>'Survival Analysis'!X20*'Survival Analysis'!W52</f>
        <v>2.9200200943276668E-2</v>
      </c>
      <c r="Y20" s="74">
        <f>'Survival Analysis'!Y20*'Survival Analysis'!X52</f>
        <v>2.1523800948475297E-2</v>
      </c>
      <c r="Z20" s="74">
        <f>'Survival Analysis'!Z20*'Survival Analysis'!Y52</f>
        <v>1.5055038561803069E-2</v>
      </c>
      <c r="AA20" s="74">
        <f>'Survival Analysis'!AA20*'Survival Analysis'!Z52</f>
        <v>9.8149741042611819E-3</v>
      </c>
    </row>
    <row r="21" spans="2:27" x14ac:dyDescent="0.25">
      <c r="B21" s="3" t="str">
        <f>'Survival Analysis'!B21</f>
        <v>Unrated</v>
      </c>
      <c r="C21" s="39">
        <f>'Survival Analysis'!C21</f>
        <v>9.9199999999999997E-2</v>
      </c>
      <c r="D21" s="5">
        <f>'Survival Analysis'!D21</f>
        <v>4.6947092764950078E-2</v>
      </c>
      <c r="E21" s="5">
        <f>'Survival Analysis'!E21*'Survival Analysis'!D53</f>
        <v>3.4402443270443589E-2</v>
      </c>
      <c r="F21" s="5">
        <f>'Survival Analysis'!F21*'Survival Analysis'!E53</f>
        <v>2.5788416820396353E-2</v>
      </c>
      <c r="G21" s="5">
        <f>'Survival Analysis'!G21*'Survival Analysis'!F53</f>
        <v>1.820374030277978E-2</v>
      </c>
      <c r="H21" s="5">
        <f>'Survival Analysis'!H21*'Survival Analysis'!G53</f>
        <v>1.2080447654880141E-2</v>
      </c>
      <c r="I21" s="5">
        <f>'Survival Analysis'!I21*'Survival Analysis'!H53</f>
        <v>7.3798738572767308E-3</v>
      </c>
      <c r="K21" s="29" t="str">
        <f t="shared" si="3"/>
        <v>Unrated</v>
      </c>
      <c r="L21" s="72">
        <f t="shared" si="4"/>
        <v>9.9199999999999997E-2</v>
      </c>
      <c r="M21" s="73">
        <f>'Survival Analysis'!M21</f>
        <v>4.4045226919063624E-2</v>
      </c>
      <c r="N21" s="73">
        <f>'Survival Analysis'!N21*'Survival Analysis'!M53</f>
        <v>3.1399685210974332E-2</v>
      </c>
      <c r="O21" s="73">
        <f>'Survival Analysis'!O21*'Survival Analysis'!N53</f>
        <v>2.2706213484216812E-2</v>
      </c>
      <c r="P21" s="73">
        <f>'Survival Analysis'!P21*'Survival Analysis'!O53</f>
        <v>1.5320852300069226E-2</v>
      </c>
      <c r="Q21" s="73">
        <f>'Survival Analysis'!Q21*'Survival Analysis'!P53</f>
        <v>9.6221651218709302E-3</v>
      </c>
      <c r="R21" s="73">
        <f>'Survival Analysis'!R21*'Survival Analysis'!Q53</f>
        <v>5.4892662657640033E-3</v>
      </c>
      <c r="T21" s="33" t="str">
        <f t="shared" si="5"/>
        <v>Unrated</v>
      </c>
      <c r="U21" s="41">
        <f t="shared" si="6"/>
        <v>9.9199999999999997E-2</v>
      </c>
      <c r="V21" s="74">
        <f>'Survival Analysis'!V21</f>
        <v>5.0000318019349135E-2</v>
      </c>
      <c r="W21" s="74">
        <f>'Survival Analysis'!W21*'Survival Analysis'!V53</f>
        <v>3.7626290048896636E-2</v>
      </c>
      <c r="X21" s="74">
        <f>'Survival Analysis'!X21*'Survival Analysis'!W53</f>
        <v>2.9200200943276668E-2</v>
      </c>
      <c r="Y21" s="74">
        <f>'Survival Analysis'!Y21*'Survival Analysis'!X53</f>
        <v>2.1523800948475297E-2</v>
      </c>
      <c r="Z21" s="74">
        <f>'Survival Analysis'!Z21*'Survival Analysis'!Y53</f>
        <v>1.5055038561803069E-2</v>
      </c>
      <c r="AA21" s="74">
        <f>'Survival Analysis'!AA21*'Survival Analysis'!Z53</f>
        <v>9.8149741042611819E-3</v>
      </c>
    </row>
    <row r="22" spans="2:27" ht="15.75" thickBot="1" x14ac:dyDescent="0.3"/>
    <row r="23" spans="2:27" ht="16.5" thickTop="1" thickBot="1" x14ac:dyDescent="0.3">
      <c r="B23" s="120" t="s">
        <v>22</v>
      </c>
      <c r="C23" s="121"/>
      <c r="D23" s="121"/>
      <c r="F23" s="53"/>
    </row>
    <row r="24" spans="2:27" ht="15.75" thickTop="1" x14ac:dyDescent="0.25">
      <c r="F24" s="53"/>
    </row>
    <row r="25" spans="2:27" x14ac:dyDescent="0.25">
      <c r="B25" s="2" t="s">
        <v>18</v>
      </c>
      <c r="C25" s="2" t="s">
        <v>19</v>
      </c>
      <c r="D25" s="2" t="s">
        <v>20</v>
      </c>
      <c r="F25" s="53"/>
    </row>
    <row r="26" spans="2:27" x14ac:dyDescent="0.25">
      <c r="B26" s="76">
        <f>Admin!B10</f>
        <v>0.5</v>
      </c>
      <c r="C26" s="76">
        <f>Admin!C10</f>
        <v>0.05</v>
      </c>
      <c r="D26" s="76">
        <f>Admin!D10</f>
        <v>0.45</v>
      </c>
      <c r="F26" s="53"/>
    </row>
    <row r="27" spans="2:27" ht="15.75" thickBot="1" x14ac:dyDescent="0.3"/>
    <row r="28" spans="2:27" ht="16.5" thickTop="1" thickBot="1" x14ac:dyDescent="0.3">
      <c r="B28" s="120" t="s">
        <v>23</v>
      </c>
      <c r="C28" s="121"/>
      <c r="D28" s="121"/>
      <c r="E28" s="121"/>
      <c r="F28" s="121"/>
      <c r="G28" s="121"/>
      <c r="H28" s="121"/>
      <c r="I28" s="121"/>
    </row>
    <row r="29" spans="2:27" ht="15.75" thickTop="1" x14ac:dyDescent="0.25"/>
    <row r="30" spans="2:27" x14ac:dyDescent="0.25">
      <c r="B30" s="2" t="s">
        <v>24</v>
      </c>
      <c r="C30" s="61"/>
    </row>
    <row r="31" spans="2:27" x14ac:dyDescent="0.25">
      <c r="B31" s="2" t="s">
        <v>25</v>
      </c>
      <c r="C31" s="2" t="s">
        <v>26</v>
      </c>
      <c r="D31" s="2">
        <v>2026</v>
      </c>
      <c r="E31" s="2">
        <f t="shared" ref="E31:I31" si="7">D31+1</f>
        <v>2027</v>
      </c>
      <c r="F31" s="2">
        <f t="shared" si="7"/>
        <v>2028</v>
      </c>
      <c r="G31" s="2">
        <f t="shared" si="7"/>
        <v>2029</v>
      </c>
      <c r="H31" s="2">
        <f t="shared" si="7"/>
        <v>2030</v>
      </c>
      <c r="I31" s="2">
        <f t="shared" si="7"/>
        <v>2031</v>
      </c>
      <c r="J31" s="2" t="s">
        <v>82</v>
      </c>
    </row>
    <row r="32" spans="2:27" x14ac:dyDescent="0.25">
      <c r="B32" s="3" t="str">
        <f>B10</f>
        <v>AAA</v>
      </c>
      <c r="C32" s="39">
        <f>C10</f>
        <v>2.9999999999999997E-4</v>
      </c>
      <c r="D32" s="5">
        <f t="shared" ref="D32:I32" si="8">$B$26*D10+$C$26*M10+$D$26*V10</f>
        <v>3.0000000000000003E-4</v>
      </c>
      <c r="E32" s="5">
        <f t="shared" si="8"/>
        <v>2.9990999999999997E-4</v>
      </c>
      <c r="F32" s="5">
        <f t="shared" si="8"/>
        <v>2.9990999999999997E-4</v>
      </c>
      <c r="G32" s="5">
        <f t="shared" si="8"/>
        <v>2.9990999999999997E-4</v>
      </c>
      <c r="H32" s="5">
        <f t="shared" si="8"/>
        <v>2.9990999999999997E-4</v>
      </c>
      <c r="I32" s="5">
        <f t="shared" si="8"/>
        <v>2.9990999999999997E-4</v>
      </c>
      <c r="J32" s="5">
        <f>SUM(E32:I32)</f>
        <v>1.4995499999999999E-3</v>
      </c>
    </row>
    <row r="33" spans="2:10" x14ac:dyDescent="0.25">
      <c r="B33" s="3" t="str">
        <f t="shared" ref="B33:C42" si="9">B11</f>
        <v>AA+</v>
      </c>
      <c r="C33" s="39">
        <f t="shared" si="9"/>
        <v>2.8999999999999998E-3</v>
      </c>
      <c r="D33" s="5">
        <f t="shared" ref="D33:D43" si="10">$B$26*D11+$C$26*M11+$D$26*V11</f>
        <v>3.0000000000000003E-4</v>
      </c>
      <c r="E33" s="5">
        <f t="shared" ref="E33:I33" si="11">$B$26*E11+$C$26*N11+$D$26*W11</f>
        <v>2.9990999999999997E-4</v>
      </c>
      <c r="F33" s="5">
        <f t="shared" si="11"/>
        <v>2.9990999999999997E-4</v>
      </c>
      <c r="G33" s="5">
        <f t="shared" si="11"/>
        <v>2.9990999999999997E-4</v>
      </c>
      <c r="H33" s="5">
        <f t="shared" si="11"/>
        <v>2.9990999999999997E-4</v>
      </c>
      <c r="I33" s="5">
        <f t="shared" si="11"/>
        <v>2.9990999999999997E-4</v>
      </c>
      <c r="J33" s="5">
        <f t="shared" ref="J33:J43" si="12">SUM(E33:I33)</f>
        <v>1.4995499999999999E-3</v>
      </c>
    </row>
    <row r="34" spans="2:10" x14ac:dyDescent="0.25">
      <c r="B34" s="3" t="str">
        <f t="shared" si="9"/>
        <v>AA</v>
      </c>
      <c r="C34" s="39">
        <f t="shared" si="9"/>
        <v>2.8999999999999998E-3</v>
      </c>
      <c r="D34" s="5">
        <f t="shared" si="10"/>
        <v>3.0000000000000003E-4</v>
      </c>
      <c r="E34" s="5">
        <f t="shared" ref="E34:I34" si="13">$B$26*E12+$C$26*N12+$D$26*W12</f>
        <v>2.9990999999999997E-4</v>
      </c>
      <c r="F34" s="5">
        <f t="shared" si="13"/>
        <v>2.9990999999999997E-4</v>
      </c>
      <c r="G34" s="5">
        <f t="shared" si="13"/>
        <v>2.9990999999999997E-4</v>
      </c>
      <c r="H34" s="5">
        <f t="shared" si="13"/>
        <v>2.9990999999999997E-4</v>
      </c>
      <c r="I34" s="5">
        <f t="shared" si="13"/>
        <v>2.9990999999999997E-4</v>
      </c>
      <c r="J34" s="5">
        <f t="shared" si="12"/>
        <v>1.4995499999999999E-3</v>
      </c>
    </row>
    <row r="35" spans="2:10" x14ac:dyDescent="0.25">
      <c r="B35" s="3" t="str">
        <f t="shared" si="9"/>
        <v>AA-</v>
      </c>
      <c r="C35" s="39">
        <f t="shared" si="9"/>
        <v>2.8999999999999998E-3</v>
      </c>
      <c r="D35" s="5">
        <f t="shared" si="10"/>
        <v>3.0000000000000003E-4</v>
      </c>
      <c r="E35" s="5">
        <f t="shared" ref="E35:I35" si="14">$B$26*E13+$C$26*N13+$D$26*W13</f>
        <v>2.9990999999999997E-4</v>
      </c>
      <c r="F35" s="5">
        <f t="shared" si="14"/>
        <v>2.9990999999999997E-4</v>
      </c>
      <c r="G35" s="5">
        <f t="shared" si="14"/>
        <v>2.9990999999999997E-4</v>
      </c>
      <c r="H35" s="5">
        <f t="shared" si="14"/>
        <v>2.9990999999999997E-4</v>
      </c>
      <c r="I35" s="5">
        <f t="shared" si="14"/>
        <v>2.9990999999999997E-4</v>
      </c>
      <c r="J35" s="5">
        <f t="shared" si="12"/>
        <v>1.4995499999999999E-3</v>
      </c>
    </row>
    <row r="36" spans="2:10" x14ac:dyDescent="0.25">
      <c r="B36" s="3" t="str">
        <f t="shared" si="9"/>
        <v>A+</v>
      </c>
      <c r="C36" s="39">
        <f t="shared" si="9"/>
        <v>6.6E-3</v>
      </c>
      <c r="D36" s="5">
        <f t="shared" si="10"/>
        <v>7.3252990113483059E-4</v>
      </c>
      <c r="E36" s="5">
        <f t="shared" ref="E36:I36" si="15">$B$26*E14+$C$26*N14+$D$26*W14</f>
        <v>4.1486745662142337E-4</v>
      </c>
      <c r="F36" s="5">
        <f t="shared" si="15"/>
        <v>2.9987544761395123E-4</v>
      </c>
      <c r="G36" s="5">
        <f t="shared" si="15"/>
        <v>2.9990999999999997E-4</v>
      </c>
      <c r="H36" s="5">
        <f t="shared" si="15"/>
        <v>2.9990999999999997E-4</v>
      </c>
      <c r="I36" s="5">
        <f t="shared" si="15"/>
        <v>2.9990999999999997E-4</v>
      </c>
      <c r="J36" s="5">
        <f t="shared" si="12"/>
        <v>1.6144729042353746E-3</v>
      </c>
    </row>
    <row r="37" spans="2:10" x14ac:dyDescent="0.25">
      <c r="B37" s="3" t="str">
        <f t="shared" si="9"/>
        <v>A</v>
      </c>
      <c r="C37" s="39">
        <f t="shared" si="9"/>
        <v>6.6E-3</v>
      </c>
      <c r="D37" s="5">
        <f t="shared" si="10"/>
        <v>7.3252990113483059E-4</v>
      </c>
      <c r="E37" s="5">
        <f t="shared" ref="E37:I37" si="16">$B$26*E15+$C$26*N15+$D$26*W15</f>
        <v>4.1486745662142337E-4</v>
      </c>
      <c r="F37" s="5">
        <f t="shared" si="16"/>
        <v>2.9987544761395123E-4</v>
      </c>
      <c r="G37" s="5">
        <f t="shared" si="16"/>
        <v>2.9990999999999997E-4</v>
      </c>
      <c r="H37" s="5">
        <f t="shared" si="16"/>
        <v>2.9990999999999997E-4</v>
      </c>
      <c r="I37" s="5">
        <f t="shared" si="16"/>
        <v>2.9990999999999997E-4</v>
      </c>
      <c r="J37" s="5">
        <f t="shared" si="12"/>
        <v>1.6144729042353746E-3</v>
      </c>
    </row>
    <row r="38" spans="2:10" x14ac:dyDescent="0.25">
      <c r="B38" s="3" t="str">
        <f t="shared" si="9"/>
        <v>A-</v>
      </c>
      <c r="C38" s="39">
        <f t="shared" si="9"/>
        <v>6.6E-3</v>
      </c>
      <c r="D38" s="5">
        <f t="shared" si="10"/>
        <v>7.3252990113483059E-4</v>
      </c>
      <c r="E38" s="5">
        <f t="shared" ref="E38:I38" si="17">$B$26*E16+$C$26*N16+$D$26*W16</f>
        <v>4.1486745662142337E-4</v>
      </c>
      <c r="F38" s="5">
        <f t="shared" si="17"/>
        <v>2.9987544761395123E-4</v>
      </c>
      <c r="G38" s="5">
        <f t="shared" si="17"/>
        <v>2.9990999999999997E-4</v>
      </c>
      <c r="H38" s="5">
        <f t="shared" si="17"/>
        <v>2.9990999999999997E-4</v>
      </c>
      <c r="I38" s="5">
        <f t="shared" si="17"/>
        <v>2.9990999999999997E-4</v>
      </c>
      <c r="J38" s="5">
        <f t="shared" si="12"/>
        <v>1.6144729042353746E-3</v>
      </c>
    </row>
    <row r="39" spans="2:10" x14ac:dyDescent="0.25">
      <c r="B39" s="3" t="str">
        <f t="shared" si="9"/>
        <v>BBB+</v>
      </c>
      <c r="C39" s="39">
        <f t="shared" si="9"/>
        <v>2.2100000000000002E-2</v>
      </c>
      <c r="D39" s="5">
        <f t="shared" si="10"/>
        <v>5.5855584525335324E-3</v>
      </c>
      <c r="E39" s="5">
        <f t="shared" ref="E39:I39" si="18">$B$26*E17+$C$26*N17+$D$26*W17</f>
        <v>3.712923367967655E-3</v>
      </c>
      <c r="F39" s="5">
        <f t="shared" si="18"/>
        <v>2.3597772659474086E-3</v>
      </c>
      <c r="G39" s="5">
        <f t="shared" si="18"/>
        <v>1.3786635084867681E-3</v>
      </c>
      <c r="H39" s="5">
        <f t="shared" si="18"/>
        <v>7.400268341469083E-4</v>
      </c>
      <c r="I39" s="5">
        <f t="shared" si="18"/>
        <v>3.6775571377214533E-4</v>
      </c>
      <c r="J39" s="5">
        <f t="shared" si="12"/>
        <v>8.5591466903208839E-3</v>
      </c>
    </row>
    <row r="40" spans="2:10" x14ac:dyDescent="0.25">
      <c r="B40" s="3" t="str">
        <f t="shared" si="9"/>
        <v>BBB</v>
      </c>
      <c r="C40" s="39">
        <f t="shared" si="9"/>
        <v>2.2100000000000002E-2</v>
      </c>
      <c r="D40" s="5">
        <f t="shared" si="10"/>
        <v>5.5855584525335324E-3</v>
      </c>
      <c r="E40" s="5">
        <f t="shared" ref="E40:I40" si="19">$B$26*E18+$C$26*N18+$D$26*W18</f>
        <v>3.712923367967655E-3</v>
      </c>
      <c r="F40" s="5">
        <f t="shared" si="19"/>
        <v>2.3597772659474086E-3</v>
      </c>
      <c r="G40" s="5">
        <f t="shared" si="19"/>
        <v>1.3786635084867681E-3</v>
      </c>
      <c r="H40" s="5">
        <f t="shared" si="19"/>
        <v>7.400268341469083E-4</v>
      </c>
      <c r="I40" s="5">
        <f t="shared" si="19"/>
        <v>3.6775571377214533E-4</v>
      </c>
      <c r="J40" s="5">
        <f t="shared" si="12"/>
        <v>8.5591466903208839E-3</v>
      </c>
    </row>
    <row r="41" spans="2:10" x14ac:dyDescent="0.25">
      <c r="B41" s="3" t="str">
        <f t="shared" si="9"/>
        <v>BBB-</v>
      </c>
      <c r="C41" s="39">
        <f t="shared" si="9"/>
        <v>2.2100000000000002E-2</v>
      </c>
      <c r="D41" s="5">
        <f t="shared" si="10"/>
        <v>5.5855584525335324E-3</v>
      </c>
      <c r="E41" s="5">
        <f t="shared" ref="E41:I41" si="20">$B$26*E19+$C$26*N19+$D$26*W19</f>
        <v>3.712923367967655E-3</v>
      </c>
      <c r="F41" s="5">
        <f t="shared" si="20"/>
        <v>2.3597772659474086E-3</v>
      </c>
      <c r="G41" s="5">
        <f t="shared" si="20"/>
        <v>1.3786635084867681E-3</v>
      </c>
      <c r="H41" s="5">
        <f t="shared" si="20"/>
        <v>7.400268341469083E-4</v>
      </c>
      <c r="I41" s="5">
        <f t="shared" si="20"/>
        <v>3.6775571377214533E-4</v>
      </c>
      <c r="J41" s="5">
        <f t="shared" si="12"/>
        <v>8.5591466903208839E-3</v>
      </c>
    </row>
    <row r="42" spans="2:10" x14ac:dyDescent="0.25">
      <c r="B42" s="3" t="str">
        <f t="shared" si="9"/>
        <v>BB+</v>
      </c>
      <c r="C42" s="39">
        <f t="shared" si="9"/>
        <v>9.9199999999999997E-2</v>
      </c>
      <c r="D42" s="5">
        <f t="shared" si="10"/>
        <v>4.8175950837135328E-2</v>
      </c>
      <c r="E42" s="5">
        <f t="shared" ref="E42:I42" si="21">$B$26*E20+$C$26*N20+$D$26*W20</f>
        <v>3.5703036417774003E-2</v>
      </c>
      <c r="F42" s="5">
        <f t="shared" si="21"/>
        <v>2.7169609508883516E-2</v>
      </c>
      <c r="G42" s="5">
        <f t="shared" si="21"/>
        <v>1.9553623193207234E-2</v>
      </c>
      <c r="H42" s="5">
        <f t="shared" si="21"/>
        <v>1.3296099436344997E-2</v>
      </c>
      <c r="I42" s="5">
        <f t="shared" si="21"/>
        <v>8.3811385888440983E-3</v>
      </c>
      <c r="J42" s="5">
        <f t="shared" si="12"/>
        <v>0.10410350714505384</v>
      </c>
    </row>
    <row r="43" spans="2:10" x14ac:dyDescent="0.25">
      <c r="B43" s="3" t="str">
        <f>B21</f>
        <v>Unrated</v>
      </c>
      <c r="C43" s="39">
        <f t="shared" ref="C43" si="22">C21</f>
        <v>9.9199999999999997E-2</v>
      </c>
      <c r="D43" s="5">
        <f t="shared" si="10"/>
        <v>4.8175950837135328E-2</v>
      </c>
      <c r="E43" s="5">
        <f t="shared" ref="E43:I43" si="23">$B$26*E21+$C$26*N21+$D$26*W21</f>
        <v>3.5703036417774003E-2</v>
      </c>
      <c r="F43" s="5">
        <f t="shared" si="23"/>
        <v>2.7169609508883516E-2</v>
      </c>
      <c r="G43" s="5">
        <f t="shared" si="23"/>
        <v>1.9553623193207234E-2</v>
      </c>
      <c r="H43" s="5">
        <f t="shared" si="23"/>
        <v>1.3296099436344997E-2</v>
      </c>
      <c r="I43" s="5">
        <f t="shared" si="23"/>
        <v>8.3811385888440983E-3</v>
      </c>
      <c r="J43" s="5">
        <f t="shared" si="12"/>
        <v>0.10410350714505384</v>
      </c>
    </row>
  </sheetData>
  <mergeCells count="3">
    <mergeCell ref="B6:I6"/>
    <mergeCell ref="B23:D23"/>
    <mergeCell ref="B28:I28"/>
  </mergeCells>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57D861-A025-43A8-A5D0-41FB11480038}">
  <dimension ref="B6:L20"/>
  <sheetViews>
    <sheetView showGridLines="0" topLeftCell="A6" workbookViewId="0">
      <selection activeCell="K22" sqref="K22"/>
    </sheetView>
  </sheetViews>
  <sheetFormatPr defaultRowHeight="15" x14ac:dyDescent="0.25"/>
  <cols>
    <col min="2" max="2" width="15.140625" bestFit="1" customWidth="1"/>
    <col min="3" max="5" width="11.140625" customWidth="1"/>
    <col min="9" max="9" width="13" customWidth="1"/>
    <col min="11" max="11" width="26.42578125" bestFit="1" customWidth="1"/>
    <col min="12" max="12" width="10.5703125" bestFit="1" customWidth="1"/>
  </cols>
  <sheetData>
    <row r="6" spans="2:12" x14ac:dyDescent="0.25">
      <c r="B6" s="92" t="s">
        <v>133</v>
      </c>
      <c r="C6" s="122" t="s">
        <v>29</v>
      </c>
      <c r="D6" s="123"/>
      <c r="E6" s="123"/>
    </row>
    <row r="7" spans="2:12" x14ac:dyDescent="0.25">
      <c r="B7" s="21" t="s">
        <v>25</v>
      </c>
      <c r="C7" s="21" t="s">
        <v>142</v>
      </c>
      <c r="D7" s="21" t="s">
        <v>141</v>
      </c>
      <c r="E7" s="21" t="s">
        <v>140</v>
      </c>
      <c r="F7" s="21" t="s">
        <v>30</v>
      </c>
      <c r="G7" s="21" t="s">
        <v>91</v>
      </c>
      <c r="H7" s="21" t="s">
        <v>31</v>
      </c>
      <c r="I7" s="21" t="s">
        <v>32</v>
      </c>
      <c r="K7" s="83" t="s">
        <v>131</v>
      </c>
      <c r="L7" s="84" t="s">
        <v>130</v>
      </c>
    </row>
    <row r="8" spans="2:12" x14ac:dyDescent="0.25">
      <c r="B8" s="11" t="str">
        <f>'PIT PD'!B32</f>
        <v>AAA</v>
      </c>
      <c r="C8" s="107">
        <f>'Input Data '!T9</f>
        <v>16859.79</v>
      </c>
      <c r="D8" s="107">
        <f>'Input Data '!U9</f>
        <v>0</v>
      </c>
      <c r="E8" s="107">
        <f>'Input Data '!V9</f>
        <v>0</v>
      </c>
      <c r="F8" s="14">
        <f>'PIT PD'!D32</f>
        <v>3.0000000000000003E-4</v>
      </c>
      <c r="G8" s="82">
        <f>IF('Input Data '!N9="Y",'PIT PD'!J32,0)</f>
        <v>0</v>
      </c>
      <c r="H8" s="48">
        <v>0.65</v>
      </c>
      <c r="I8" s="106">
        <f>(C8*F8+D8*G8+E8*1)*H8</f>
        <v>3.2876590500000007</v>
      </c>
      <c r="K8" s="100" t="s">
        <v>128</v>
      </c>
      <c r="L8" s="15">
        <f>I20</f>
        <v>110.0790687262825</v>
      </c>
    </row>
    <row r="9" spans="2:12" x14ac:dyDescent="0.25">
      <c r="B9" s="11" t="str">
        <f>'PIT PD'!B33</f>
        <v>AA+</v>
      </c>
      <c r="C9" s="107">
        <f>'Input Data '!T10</f>
        <v>1103.8500000000001</v>
      </c>
      <c r="D9" s="107">
        <f>'Input Data '!U10</f>
        <v>0</v>
      </c>
      <c r="E9" s="107">
        <f>'Input Data '!V10</f>
        <v>0</v>
      </c>
      <c r="F9" s="14">
        <f>'PIT PD'!D33</f>
        <v>3.0000000000000003E-4</v>
      </c>
      <c r="G9" s="82">
        <f>IF('Input Data '!N10="Y",'PIT PD'!J33,0)</f>
        <v>0</v>
      </c>
      <c r="H9" s="48">
        <v>0.65</v>
      </c>
      <c r="I9" s="106">
        <f t="shared" ref="I9:I19" si="0">(C9*F9+D9*G9+E9*1)*H9</f>
        <v>0.21525075000000007</v>
      </c>
      <c r="K9" s="100" t="s">
        <v>129</v>
      </c>
      <c r="L9" s="15">
        <f>SUM('Input Data '!F9:F22)*0.4%</f>
        <v>143.19571999999999</v>
      </c>
    </row>
    <row r="10" spans="2:12" x14ac:dyDescent="0.25">
      <c r="B10" s="11" t="str">
        <f>'PIT PD'!B34</f>
        <v>AA</v>
      </c>
      <c r="C10" s="107">
        <f>'Input Data '!T11</f>
        <v>12103.75</v>
      </c>
      <c r="D10" s="107">
        <f>'Input Data '!U11</f>
        <v>0</v>
      </c>
      <c r="E10" s="107">
        <f>'Input Data '!V11</f>
        <v>0</v>
      </c>
      <c r="F10" s="14">
        <f>'PIT PD'!D34</f>
        <v>3.0000000000000003E-4</v>
      </c>
      <c r="G10" s="82">
        <f>IF('Input Data '!N11="Y",'PIT PD'!J34,0)</f>
        <v>0</v>
      </c>
      <c r="H10" s="48">
        <v>0.65</v>
      </c>
      <c r="I10" s="106">
        <f t="shared" si="0"/>
        <v>2.3602312500000004</v>
      </c>
      <c r="K10" s="102" t="s">
        <v>132</v>
      </c>
      <c r="L10" s="101">
        <f>MAX(L8,L9)</f>
        <v>143.19571999999999</v>
      </c>
    </row>
    <row r="11" spans="2:12" x14ac:dyDescent="0.25">
      <c r="B11" s="11" t="str">
        <f>'PIT PD'!B35</f>
        <v>AA-</v>
      </c>
      <c r="C11" s="107">
        <f>'Input Data '!T12</f>
        <v>0</v>
      </c>
      <c r="D11" s="107">
        <f>'Input Data '!U12</f>
        <v>0</v>
      </c>
      <c r="E11" s="107">
        <f>'Input Data '!V12</f>
        <v>0</v>
      </c>
      <c r="F11" s="14">
        <f>'PIT PD'!D35</f>
        <v>3.0000000000000003E-4</v>
      </c>
      <c r="G11" s="82">
        <f>IF('Input Data '!N12="Y",'PIT PD'!J35,0)</f>
        <v>0</v>
      </c>
      <c r="H11" s="48">
        <v>0.65</v>
      </c>
      <c r="I11" s="106">
        <f t="shared" si="0"/>
        <v>0</v>
      </c>
    </row>
    <row r="12" spans="2:12" x14ac:dyDescent="0.25">
      <c r="B12" s="11" t="str">
        <f>'PIT PD'!B36</f>
        <v>A+</v>
      </c>
      <c r="C12" s="107">
        <f>'Input Data '!T13</f>
        <v>2964.5</v>
      </c>
      <c r="D12" s="107">
        <f>'Input Data '!U13</f>
        <v>0</v>
      </c>
      <c r="E12" s="107">
        <f>'Input Data '!V13</f>
        <v>0</v>
      </c>
      <c r="F12" s="14">
        <f>'PIT PD'!D36</f>
        <v>7.3252990113483059E-4</v>
      </c>
      <c r="G12" s="82">
        <f>IF('Input Data '!N13="Y",'PIT PD'!J36,0)</f>
        <v>0</v>
      </c>
      <c r="H12" s="48">
        <v>0.65</v>
      </c>
      <c r="I12" s="106">
        <f t="shared" si="0"/>
        <v>1.4115301797442334</v>
      </c>
    </row>
    <row r="13" spans="2:12" x14ac:dyDescent="0.25">
      <c r="B13" s="11" t="str">
        <f>'PIT PD'!B37</f>
        <v>A</v>
      </c>
      <c r="C13" s="107">
        <f>'Input Data '!T14</f>
        <v>6320.7574590000004</v>
      </c>
      <c r="D13" s="107">
        <f>'Input Data '!U14</f>
        <v>0</v>
      </c>
      <c r="E13" s="107">
        <f>'Input Data '!V14</f>
        <v>0</v>
      </c>
      <c r="F13" s="14">
        <f>'PIT PD'!D37</f>
        <v>7.3252990113483059E-4</v>
      </c>
      <c r="G13" s="82">
        <f>IF('Input Data '!N14="Y",'PIT PD'!J37,0)</f>
        <v>0</v>
      </c>
      <c r="H13" s="48">
        <v>0.65</v>
      </c>
      <c r="I13" s="106">
        <f t="shared" si="0"/>
        <v>3.0095934937500339</v>
      </c>
    </row>
    <row r="14" spans="2:12" x14ac:dyDescent="0.25">
      <c r="B14" s="11" t="str">
        <f>'PIT PD'!B38</f>
        <v>A-</v>
      </c>
      <c r="C14" s="107">
        <f>'Input Data '!T15</f>
        <v>12522.26</v>
      </c>
      <c r="D14" s="107">
        <f>'Input Data '!U15</f>
        <v>0</v>
      </c>
      <c r="E14" s="107">
        <f>'Input Data '!V15</f>
        <v>0</v>
      </c>
      <c r="F14" s="14">
        <f>'PIT PD'!D38</f>
        <v>7.3252990113483059E-4</v>
      </c>
      <c r="G14" s="82">
        <f>IF('Input Data '!N15="Y",'PIT PD'!J38,0)</f>
        <v>0</v>
      </c>
      <c r="H14" s="48">
        <v>0.65</v>
      </c>
      <c r="I14" s="106">
        <f t="shared" si="0"/>
        <v>5.9624044218600183</v>
      </c>
    </row>
    <row r="15" spans="2:12" x14ac:dyDescent="0.25">
      <c r="B15" s="11" t="str">
        <f>'PIT PD'!B39</f>
        <v>BBB+</v>
      </c>
      <c r="C15" s="107">
        <f>'Input Data '!T16</f>
        <v>2639.75</v>
      </c>
      <c r="D15" s="107">
        <f>'Input Data '!U16</f>
        <v>0</v>
      </c>
      <c r="E15" s="107">
        <f>'Input Data '!V16</f>
        <v>0</v>
      </c>
      <c r="F15" s="14">
        <f>'PIT PD'!D39</f>
        <v>5.5855584525335324E-3</v>
      </c>
      <c r="G15" s="82">
        <f>IF('Input Data '!N16="Y",'PIT PD'!J39,0)</f>
        <v>0</v>
      </c>
      <c r="H15" s="48">
        <v>0.65</v>
      </c>
      <c r="I15" s="106">
        <f t="shared" si="0"/>
        <v>9.5839106512990053</v>
      </c>
    </row>
    <row r="16" spans="2:12" x14ac:dyDescent="0.25">
      <c r="B16" s="11" t="str">
        <f>'PIT PD'!B40</f>
        <v>BBB</v>
      </c>
      <c r="C16" s="107">
        <f>'Input Data '!T17</f>
        <v>0</v>
      </c>
      <c r="D16" s="107">
        <f>'Input Data '!U17</f>
        <v>0</v>
      </c>
      <c r="E16" s="107">
        <f>'Input Data '!V17</f>
        <v>0</v>
      </c>
      <c r="F16" s="14">
        <f>'PIT PD'!D40</f>
        <v>5.5855584525335324E-3</v>
      </c>
      <c r="G16" s="82">
        <f>IF('Input Data '!N17="Y",'PIT PD'!J40,0)</f>
        <v>0</v>
      </c>
      <c r="H16" s="48">
        <v>0.65</v>
      </c>
      <c r="I16" s="106">
        <f t="shared" si="0"/>
        <v>0</v>
      </c>
    </row>
    <row r="17" spans="2:9" x14ac:dyDescent="0.25">
      <c r="B17" s="11" t="str">
        <f>'PIT PD'!B41</f>
        <v>BBB-</v>
      </c>
      <c r="C17" s="107">
        <f>'Input Data '!T18</f>
        <v>0</v>
      </c>
      <c r="D17" s="107">
        <f>'Input Data '!U18</f>
        <v>0</v>
      </c>
      <c r="E17" s="107">
        <f>'Input Data '!V18</f>
        <v>0</v>
      </c>
      <c r="F17" s="14">
        <f>'PIT PD'!D41</f>
        <v>5.5855584525335324E-3</v>
      </c>
      <c r="G17" s="82">
        <f>IF('Input Data '!N18="Y",'PIT PD'!J41,0)</f>
        <v>0</v>
      </c>
      <c r="H17" s="48">
        <v>0.65</v>
      </c>
      <c r="I17" s="106">
        <f t="shared" si="0"/>
        <v>0</v>
      </c>
    </row>
    <row r="18" spans="2:9" x14ac:dyDescent="0.25">
      <c r="B18" s="11" t="str">
        <f>'PIT PD'!B42</f>
        <v>BB+</v>
      </c>
      <c r="C18" s="107">
        <f>'Input Data '!T19</f>
        <v>2490.41</v>
      </c>
      <c r="D18" s="107">
        <f>'Input Data '!U19</f>
        <v>0</v>
      </c>
      <c r="E18" s="107">
        <f>'Input Data '!V19</f>
        <v>0</v>
      </c>
      <c r="F18" s="14">
        <f>'PIT PD'!D42</f>
        <v>4.8175950837135328E-2</v>
      </c>
      <c r="G18" s="82">
        <f>IF('Input Data '!N19="Y",'PIT PD'!J42,0)</f>
        <v>0</v>
      </c>
      <c r="H18" s="48">
        <v>0.65</v>
      </c>
      <c r="I18" s="106">
        <f t="shared" si="0"/>
        <v>77.985615320801614</v>
      </c>
    </row>
    <row r="19" spans="2:9" x14ac:dyDescent="0.25">
      <c r="B19" s="11" t="str">
        <f>'PIT PD'!B43</f>
        <v>Unrated</v>
      </c>
      <c r="C19" s="107">
        <f>'Input Data '!T20</f>
        <v>200</v>
      </c>
      <c r="D19" s="107">
        <f>'Input Data '!U20</f>
        <v>0</v>
      </c>
      <c r="E19" s="107">
        <f>'Input Data '!V20</f>
        <v>0</v>
      </c>
      <c r="F19" s="14">
        <f>'PIT PD'!D43</f>
        <v>4.8175950837135328E-2</v>
      </c>
      <c r="G19" s="82">
        <f>IF('Input Data '!N20="Y",'PIT PD'!J43,0)</f>
        <v>0</v>
      </c>
      <c r="H19" s="48">
        <v>0.65</v>
      </c>
      <c r="I19" s="106">
        <f t="shared" si="0"/>
        <v>6.2628736088275927</v>
      </c>
    </row>
    <row r="20" spans="2:9" x14ac:dyDescent="0.25">
      <c r="B20" s="21" t="s">
        <v>97</v>
      </c>
      <c r="C20" s="21"/>
      <c r="D20" s="21"/>
      <c r="E20" s="21"/>
      <c r="H20" s="21" t="s">
        <v>32</v>
      </c>
      <c r="I20" s="108">
        <f>SUM(I8:I19)</f>
        <v>110.0790687262825</v>
      </c>
    </row>
  </sheetData>
  <mergeCells count="1">
    <mergeCell ref="C6:E6"/>
  </mergeCells>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7B9573-57D7-419E-A2E3-8A8988186CE5}">
  <dimension ref="A1:C11"/>
  <sheetViews>
    <sheetView showGridLines="0" workbookViewId="0">
      <selection activeCell="C18" sqref="C18"/>
    </sheetView>
  </sheetViews>
  <sheetFormatPr defaultRowHeight="15" x14ac:dyDescent="0.25"/>
  <cols>
    <col min="2" max="2" width="14.5703125" bestFit="1" customWidth="1"/>
    <col min="3" max="3" width="183.85546875" bestFit="1" customWidth="1"/>
  </cols>
  <sheetData>
    <row r="1" spans="1:3" ht="15.75" thickBot="1" x14ac:dyDescent="0.3"/>
    <row r="2" spans="1:3" ht="16.5" thickTop="1" thickBot="1" x14ac:dyDescent="0.3">
      <c r="A2" s="85" t="s">
        <v>105</v>
      </c>
      <c r="B2" s="85" t="s">
        <v>108</v>
      </c>
      <c r="C2" s="85" t="s">
        <v>102</v>
      </c>
    </row>
    <row r="3" spans="1:3" ht="15.75" thickTop="1" x14ac:dyDescent="0.25">
      <c r="A3" s="86">
        <v>1</v>
      </c>
      <c r="B3" s="86" t="s">
        <v>100</v>
      </c>
      <c r="C3" s="87" t="s">
        <v>99</v>
      </c>
    </row>
    <row r="4" spans="1:3" x14ac:dyDescent="0.25">
      <c r="A4" s="86">
        <v>2</v>
      </c>
      <c r="B4" s="86" t="s">
        <v>100</v>
      </c>
      <c r="C4" s="87" t="s">
        <v>107</v>
      </c>
    </row>
    <row r="5" spans="1:3" x14ac:dyDescent="0.25">
      <c r="A5" s="86">
        <v>3</v>
      </c>
      <c r="B5" s="86" t="s">
        <v>96</v>
      </c>
      <c r="C5" s="87" t="s">
        <v>98</v>
      </c>
    </row>
    <row r="6" spans="1:3" x14ac:dyDescent="0.25">
      <c r="A6" s="86">
        <v>4</v>
      </c>
      <c r="B6" s="86" t="s">
        <v>31</v>
      </c>
      <c r="C6" s="87" t="s">
        <v>104</v>
      </c>
    </row>
    <row r="7" spans="1:3" x14ac:dyDescent="0.25">
      <c r="A7" s="86">
        <v>5</v>
      </c>
      <c r="B7" s="86" t="s">
        <v>101</v>
      </c>
      <c r="C7" s="103" t="s">
        <v>136</v>
      </c>
    </row>
    <row r="8" spans="1:3" x14ac:dyDescent="0.25">
      <c r="A8" s="86">
        <v>6</v>
      </c>
      <c r="B8" s="86" t="s">
        <v>73</v>
      </c>
      <c r="C8" s="87" t="s">
        <v>106</v>
      </c>
    </row>
    <row r="9" spans="1:3" x14ac:dyDescent="0.25">
      <c r="A9" s="86">
        <v>7</v>
      </c>
      <c r="B9" s="86" t="s">
        <v>103</v>
      </c>
      <c r="C9" s="103" t="s">
        <v>134</v>
      </c>
    </row>
    <row r="10" spans="1:3" x14ac:dyDescent="0.25">
      <c r="A10" s="86">
        <v>8</v>
      </c>
      <c r="B10" s="68" t="s">
        <v>143</v>
      </c>
      <c r="C10" s="103" t="s">
        <v>135</v>
      </c>
    </row>
    <row r="11" spans="1:3" x14ac:dyDescent="0.25">
      <c r="A11" s="86">
        <v>9</v>
      </c>
      <c r="B11" s="68" t="s">
        <v>32</v>
      </c>
      <c r="C11" s="103" t="s">
        <v>137</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BC43A6-1D7E-40A8-A1E8-3FAEE0B880C2}">
  <dimension ref="B4:F15"/>
  <sheetViews>
    <sheetView workbookViewId="0">
      <selection activeCell="E10" sqref="E10"/>
    </sheetView>
  </sheetViews>
  <sheetFormatPr defaultRowHeight="15" x14ac:dyDescent="0.25"/>
  <cols>
    <col min="2" max="2" width="14.140625" bestFit="1" customWidth="1"/>
  </cols>
  <sheetData>
    <row r="4" spans="2:6" x14ac:dyDescent="0.25">
      <c r="B4" s="126" t="s">
        <v>0</v>
      </c>
      <c r="C4" s="126"/>
      <c r="D4" s="126"/>
      <c r="E4" s="126"/>
      <c r="F4" s="126"/>
    </row>
    <row r="5" spans="2:6" x14ac:dyDescent="0.25">
      <c r="B5" s="128" t="s">
        <v>1</v>
      </c>
      <c r="C5" s="128"/>
      <c r="D5" s="128"/>
      <c r="E5" s="127">
        <v>0.65</v>
      </c>
      <c r="F5" s="127"/>
    </row>
    <row r="8" spans="2:6" x14ac:dyDescent="0.25">
      <c r="B8" s="124" t="s">
        <v>22</v>
      </c>
      <c r="C8" s="124"/>
      <c r="D8" s="124"/>
    </row>
    <row r="9" spans="2:6" x14ac:dyDescent="0.25">
      <c r="B9" s="2" t="s">
        <v>18</v>
      </c>
      <c r="C9" s="2" t="s">
        <v>19</v>
      </c>
      <c r="D9" s="2" t="s">
        <v>20</v>
      </c>
    </row>
    <row r="10" spans="2:6" x14ac:dyDescent="0.25">
      <c r="B10" s="48">
        <v>0.5</v>
      </c>
      <c r="C10" s="48">
        <v>0.05</v>
      </c>
      <c r="D10" s="48">
        <v>0.45</v>
      </c>
    </row>
    <row r="13" spans="2:6" x14ac:dyDescent="0.25">
      <c r="B13" s="124" t="s">
        <v>28</v>
      </c>
      <c r="C13" s="124"/>
      <c r="D13" s="124"/>
    </row>
    <row r="14" spans="2:6" x14ac:dyDescent="0.25">
      <c r="B14" s="125">
        <v>0.9</v>
      </c>
      <c r="C14" s="125"/>
      <c r="D14" s="125"/>
    </row>
    <row r="15" spans="2:6" x14ac:dyDescent="0.25">
      <c r="B15" s="125">
        <v>1.1000000000000001</v>
      </c>
      <c r="C15" s="125"/>
      <c r="D15" s="125"/>
    </row>
  </sheetData>
  <mergeCells count="7">
    <mergeCell ref="B13:D13"/>
    <mergeCell ref="B14:D14"/>
    <mergeCell ref="B15:D15"/>
    <mergeCell ref="B4:F4"/>
    <mergeCell ref="E5:F5"/>
    <mergeCell ref="B5:D5"/>
    <mergeCell ref="B8:D8"/>
  </mergeCells>
  <pageMargins left="0.7" right="0.7" top="0.75" bottom="0.75" header="0.3" footer="0.3"/>
</worksheet>
</file>

<file path=docMetadata/LabelInfo.xml><?xml version="1.0" encoding="utf-8"?>
<clbl:labelList xmlns:clbl="http://schemas.microsoft.com/office/2020/mipLabelMetadata">
  <clbl:label id="{a9d90964-91d3-4c01-ab00-563f95f00a38}" enabled="0" method="" siteId="{a9d90964-91d3-4c01-ab00-563f95f00a38}"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12</vt:i4>
      </vt:variant>
    </vt:vector>
  </HeadingPairs>
  <TitlesOfParts>
    <vt:vector size="12" baseType="lpstr">
      <vt:lpstr>Home </vt:lpstr>
      <vt:lpstr>Input Data </vt:lpstr>
      <vt:lpstr>TTC PD</vt:lpstr>
      <vt:lpstr>MEV Data</vt:lpstr>
      <vt:lpstr>MEV_Index</vt:lpstr>
      <vt:lpstr>MEV Scenario</vt:lpstr>
      <vt:lpstr>Vasicek</vt:lpstr>
      <vt:lpstr>Survival Analysis</vt:lpstr>
      <vt:lpstr>PIT PD</vt:lpstr>
      <vt:lpstr>ECL Calculation</vt:lpstr>
      <vt:lpstr>Assumption</vt:lpstr>
      <vt:lpstr>Admin</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Sameer Sudhansu (IND)</dc:creator>
  <cp:keywords/>
  <dc:description/>
  <cp:lastModifiedBy>Atanu Das (IND)</cp:lastModifiedBy>
  <cp:revision/>
  <dcterms:created xsi:type="dcterms:W3CDTF">2025-09-03T18:55:09Z</dcterms:created>
  <dcterms:modified xsi:type="dcterms:W3CDTF">2026-05-06T07:14:27Z</dcterms:modified>
  <cp:category/>
  <cp:contentStatus/>
</cp:coreProperties>
</file>